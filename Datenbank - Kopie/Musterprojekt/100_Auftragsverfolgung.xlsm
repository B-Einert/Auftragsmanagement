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735" yWindow="1365" windowWidth="16725" windowHeight="8055"/>
  </bookViews>
  <sheets>
    <sheet name="Ablauf" sheetId="6" r:id="rId1"/>
    <sheet name="Kalkulationsblatt" sheetId="12" r:id="rId2"/>
    <sheet name="Risiko" sheetId="14" r:id="rId3"/>
    <sheet name="FA" sheetId="7" r:id="rId4"/>
    <sheet name="FP" sheetId="13" r:id="rId5"/>
    <sheet name="Stammdaten" sheetId="5" r:id="rId6"/>
  </sheets>
  <functionGroups builtInGroupCount="17"/>
  <externalReferences>
    <externalReference r:id="rId7"/>
    <externalReference r:id="rId8"/>
  </externalReferences>
  <definedNames>
    <definedName name="Auswahl" localSheetId="4">FP!#REF!</definedName>
    <definedName name="Auswahl" localSheetId="1">Kalkulationsblatt!#REF!</definedName>
    <definedName name="Auswahl">Ablauf!$Q$40</definedName>
    <definedName name="_xlnm.Print_Area" localSheetId="0">Ablauf!$A$1:$H$68</definedName>
    <definedName name="_xlnm.Print_Area" localSheetId="3">FA!$A$1:$E$83</definedName>
    <definedName name="_xlnm.Print_Area" localSheetId="4">FP!$A$1:$AF$31</definedName>
    <definedName name="_xlnm.Print_Area" localSheetId="1">Kalkulationsblatt!$A$1:$D$49</definedName>
    <definedName name="_xlnm.Print_Area" localSheetId="2">Risiko!$A$1:$F$40</definedName>
    <definedName name="Fasergewicht">Ablauf!#REF!</definedName>
    <definedName name="FK">Ablauf!$D$15</definedName>
    <definedName name="Fläche" localSheetId="4">FP!#REF!</definedName>
    <definedName name="Fläche" localSheetId="1">Kalkulationsblatt!#REF!</definedName>
    <definedName name="Fläche">Ablauf!$D$9</definedName>
    <definedName name="Flaeche">Ablauf!$D$9</definedName>
    <definedName name="Härter" localSheetId="4">[1]Stammdaten!#REF!</definedName>
    <definedName name="Härter" localSheetId="1">[1]Stammdaten!#REF!</definedName>
    <definedName name="Härter">Stammdaten!#REF!</definedName>
    <definedName name="Härtera" localSheetId="4">[1]Stammdaten!#REF!</definedName>
    <definedName name="Härtera" localSheetId="1">[1]Stammdaten!#REF!</definedName>
    <definedName name="Härtera">Stammdaten!#REF!</definedName>
    <definedName name="Härteranteil" localSheetId="4">[1]Stammdaten!#REF!</definedName>
    <definedName name="Härteranteil" localSheetId="1">[1]Stammdaten!#REF!</definedName>
    <definedName name="Härteranteil">Stammdaten!#REF!</definedName>
    <definedName name="Harz" localSheetId="4">FP!#REF!</definedName>
    <definedName name="Harz" localSheetId="1">Kalkulationsblatt!#REF!</definedName>
    <definedName name="Harz">Ablauf!$S$40</definedName>
    <definedName name="Harztyp">Ablauf!$D$3</definedName>
    <definedName name="Infiltrationsschlauch">'[2]Dropdown-Menü'!#REF!</definedName>
    <definedName name="Komplexitaet">Ablauf!$D$2</definedName>
    <definedName name="LK" localSheetId="4">[1]Stammdaten!$J$2</definedName>
    <definedName name="LK" localSheetId="1">[1]Stammdaten!$J$2</definedName>
    <definedName name="LK">Stammdaten!$C$3</definedName>
    <definedName name="Menge">Ablauf!$D$11</definedName>
    <definedName name="MK">Ablauf!$D$13</definedName>
    <definedName name="Umfang">Ablauf!$D$10</definedName>
    <definedName name="WK">Ablauf!$D$14</definedName>
    <definedName name="zaehler">Ablauf!$AD$6</definedName>
  </definedNames>
  <calcPr calcId="145621"/>
</workbook>
</file>

<file path=xl/calcChain.xml><?xml version="1.0" encoding="utf-8"?>
<calcChain xmlns="http://schemas.openxmlformats.org/spreadsheetml/2006/main">
  <c r="C30" i="14" l="1"/>
  <c r="B29" i="14"/>
  <c r="F28" i="14"/>
  <c r="F26" i="14"/>
  <c r="C4" i="13" l="1"/>
  <c r="U1" i="13"/>
  <c r="I1" i="13"/>
  <c r="AD14" i="6"/>
  <c r="AH4" i="13"/>
  <c r="AH3" i="13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20" i="6"/>
  <c r="C81" i="7"/>
  <c r="C83" i="7"/>
  <c r="C82" i="7"/>
  <c r="W24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20" i="6"/>
  <c r="C5" i="5"/>
  <c r="K1" i="13"/>
  <c r="E3" i="7" l="1"/>
  <c r="E10" i="7"/>
  <c r="E12" i="13" l="1"/>
  <c r="A81" i="7"/>
  <c r="B81" i="7"/>
  <c r="E81" i="7"/>
  <c r="A82" i="7"/>
  <c r="B82" i="7"/>
  <c r="E82" i="7"/>
  <c r="A83" i="7"/>
  <c r="B83" i="7"/>
  <c r="E83" i="7"/>
  <c r="D22" i="13"/>
  <c r="D21" i="13"/>
  <c r="L16" i="13"/>
  <c r="E16" i="13"/>
  <c r="A12" i="13"/>
  <c r="C18" i="12" l="1"/>
  <c r="O54" i="6"/>
  <c r="O55" i="6"/>
  <c r="O56" i="6"/>
  <c r="O57" i="6"/>
  <c r="O58" i="6"/>
  <c r="O59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J21" i="6"/>
  <c r="N21" i="6"/>
  <c r="P21" i="6"/>
  <c r="Q21" i="6"/>
  <c r="R21" i="6"/>
  <c r="S21" i="6"/>
  <c r="T21" i="6"/>
  <c r="J22" i="6"/>
  <c r="K22" i="6"/>
  <c r="N22" i="6"/>
  <c r="P22" i="6"/>
  <c r="Q22" i="6"/>
  <c r="R22" i="6"/>
  <c r="S22" i="6"/>
  <c r="T22" i="6"/>
  <c r="J23" i="6"/>
  <c r="N23" i="6"/>
  <c r="P23" i="6"/>
  <c r="Q23" i="6"/>
  <c r="R23" i="6"/>
  <c r="S23" i="6"/>
  <c r="T23" i="6"/>
  <c r="J24" i="6"/>
  <c r="K24" i="6"/>
  <c r="P24" i="6"/>
  <c r="Q24" i="6"/>
  <c r="J25" i="6"/>
  <c r="K25" i="6"/>
  <c r="P25" i="6"/>
  <c r="Q25" i="6"/>
  <c r="J26" i="6"/>
  <c r="K26" i="6"/>
  <c r="P26" i="6"/>
  <c r="Q26" i="6"/>
  <c r="J27" i="6"/>
  <c r="K27" i="6"/>
  <c r="P27" i="6"/>
  <c r="Q27" i="6"/>
  <c r="J28" i="6"/>
  <c r="K28" i="6"/>
  <c r="N28" i="6"/>
  <c r="P28" i="6"/>
  <c r="Q28" i="6"/>
  <c r="R28" i="6"/>
  <c r="S28" i="6"/>
  <c r="T28" i="6"/>
  <c r="J29" i="6"/>
  <c r="K29" i="6"/>
  <c r="P29" i="6"/>
  <c r="Q29" i="6"/>
  <c r="J30" i="6"/>
  <c r="K30" i="6"/>
  <c r="P30" i="6"/>
  <c r="Q30" i="6"/>
  <c r="J31" i="6"/>
  <c r="K31" i="6"/>
  <c r="P31" i="6"/>
  <c r="Q31" i="6"/>
  <c r="J32" i="6"/>
  <c r="K32" i="6"/>
  <c r="P32" i="6"/>
  <c r="Q32" i="6"/>
  <c r="J33" i="6"/>
  <c r="K33" i="6"/>
  <c r="N33" i="6"/>
  <c r="P33" i="6"/>
  <c r="Q33" i="6"/>
  <c r="R33" i="6"/>
  <c r="S33" i="6"/>
  <c r="T33" i="6"/>
  <c r="J34" i="6"/>
  <c r="K34" i="6"/>
  <c r="N34" i="6"/>
  <c r="P34" i="6"/>
  <c r="Q34" i="6"/>
  <c r="R34" i="6"/>
  <c r="S34" i="6"/>
  <c r="T34" i="6"/>
  <c r="J35" i="6"/>
  <c r="K35" i="6"/>
  <c r="N35" i="6"/>
  <c r="P35" i="6"/>
  <c r="Q35" i="6"/>
  <c r="R35" i="6"/>
  <c r="S35" i="6"/>
  <c r="T35" i="6"/>
  <c r="J36" i="6"/>
  <c r="K36" i="6"/>
  <c r="N36" i="6"/>
  <c r="P36" i="6"/>
  <c r="Q36" i="6"/>
  <c r="R36" i="6"/>
  <c r="S36" i="6"/>
  <c r="T36" i="6"/>
  <c r="J37" i="6"/>
  <c r="K37" i="6"/>
  <c r="N37" i="6"/>
  <c r="P37" i="6"/>
  <c r="Q37" i="6"/>
  <c r="R37" i="6"/>
  <c r="S37" i="6"/>
  <c r="T37" i="6"/>
  <c r="J38" i="6"/>
  <c r="K38" i="6"/>
  <c r="N38" i="6"/>
  <c r="P38" i="6"/>
  <c r="Q38" i="6"/>
  <c r="R38" i="6"/>
  <c r="S38" i="6"/>
  <c r="T38" i="6"/>
  <c r="G39" i="6"/>
  <c r="J39" i="6"/>
  <c r="K39" i="6"/>
  <c r="L39" i="6"/>
  <c r="N39" i="6"/>
  <c r="P39" i="6"/>
  <c r="Q39" i="6"/>
  <c r="R39" i="6"/>
  <c r="S39" i="6"/>
  <c r="T39" i="6"/>
  <c r="G40" i="6"/>
  <c r="J40" i="6"/>
  <c r="K40" i="6"/>
  <c r="L40" i="6"/>
  <c r="N40" i="6"/>
  <c r="P40" i="6"/>
  <c r="Q40" i="6"/>
  <c r="R40" i="6"/>
  <c r="S40" i="6"/>
  <c r="T40" i="6"/>
  <c r="G41" i="6"/>
  <c r="J41" i="6"/>
  <c r="K41" i="6"/>
  <c r="L41" i="6"/>
  <c r="N41" i="6"/>
  <c r="P41" i="6"/>
  <c r="Q41" i="6"/>
  <c r="R41" i="6"/>
  <c r="S41" i="6"/>
  <c r="T41" i="6"/>
  <c r="G42" i="6"/>
  <c r="J42" i="6"/>
  <c r="K42" i="6"/>
  <c r="L42" i="6"/>
  <c r="N42" i="6"/>
  <c r="P42" i="6"/>
  <c r="Q42" i="6"/>
  <c r="R42" i="6"/>
  <c r="S42" i="6"/>
  <c r="T42" i="6"/>
  <c r="G43" i="6"/>
  <c r="J43" i="6"/>
  <c r="K43" i="6"/>
  <c r="L43" i="6"/>
  <c r="N43" i="6"/>
  <c r="P43" i="6"/>
  <c r="Q43" i="6"/>
  <c r="R43" i="6"/>
  <c r="S43" i="6"/>
  <c r="T43" i="6"/>
  <c r="G44" i="6"/>
  <c r="J44" i="6"/>
  <c r="K44" i="6"/>
  <c r="L44" i="6"/>
  <c r="N44" i="6"/>
  <c r="P44" i="6"/>
  <c r="Q44" i="6"/>
  <c r="R44" i="6"/>
  <c r="S44" i="6"/>
  <c r="T44" i="6"/>
  <c r="G45" i="6"/>
  <c r="J45" i="6"/>
  <c r="K45" i="6"/>
  <c r="L45" i="6"/>
  <c r="N45" i="6"/>
  <c r="P45" i="6"/>
  <c r="Q45" i="6"/>
  <c r="R45" i="6"/>
  <c r="S45" i="6"/>
  <c r="T45" i="6"/>
  <c r="G46" i="6"/>
  <c r="J46" i="6"/>
  <c r="K46" i="6"/>
  <c r="L46" i="6"/>
  <c r="N46" i="6"/>
  <c r="P46" i="6"/>
  <c r="Q46" i="6"/>
  <c r="R46" i="6"/>
  <c r="S46" i="6"/>
  <c r="T46" i="6"/>
  <c r="G47" i="6"/>
  <c r="J47" i="6"/>
  <c r="K47" i="6"/>
  <c r="L47" i="6"/>
  <c r="N47" i="6"/>
  <c r="P47" i="6"/>
  <c r="Q47" i="6"/>
  <c r="R47" i="6"/>
  <c r="S47" i="6"/>
  <c r="T47" i="6"/>
  <c r="G48" i="6"/>
  <c r="J48" i="6"/>
  <c r="K48" i="6"/>
  <c r="L48" i="6"/>
  <c r="N48" i="6"/>
  <c r="P48" i="6"/>
  <c r="Q48" i="6"/>
  <c r="R48" i="6"/>
  <c r="S48" i="6"/>
  <c r="T48" i="6"/>
  <c r="G49" i="6"/>
  <c r="J49" i="6"/>
  <c r="K49" i="6"/>
  <c r="L49" i="6"/>
  <c r="N49" i="6"/>
  <c r="P49" i="6"/>
  <c r="Q49" i="6"/>
  <c r="R49" i="6"/>
  <c r="S49" i="6"/>
  <c r="T49" i="6"/>
  <c r="G50" i="6"/>
  <c r="J50" i="6"/>
  <c r="K50" i="6"/>
  <c r="L50" i="6"/>
  <c r="N50" i="6"/>
  <c r="P50" i="6"/>
  <c r="Q50" i="6"/>
  <c r="R50" i="6"/>
  <c r="S50" i="6"/>
  <c r="T50" i="6"/>
  <c r="G51" i="6"/>
  <c r="J51" i="6"/>
  <c r="K51" i="6"/>
  <c r="L51" i="6"/>
  <c r="N51" i="6"/>
  <c r="P51" i="6"/>
  <c r="Q51" i="6"/>
  <c r="R51" i="6"/>
  <c r="S51" i="6"/>
  <c r="T51" i="6"/>
  <c r="G52" i="6"/>
  <c r="J52" i="6"/>
  <c r="K52" i="6"/>
  <c r="L52" i="6"/>
  <c r="N52" i="6"/>
  <c r="P52" i="6"/>
  <c r="Q52" i="6"/>
  <c r="R52" i="6"/>
  <c r="S52" i="6"/>
  <c r="T52" i="6"/>
  <c r="G53" i="6"/>
  <c r="J53" i="6"/>
  <c r="K53" i="6"/>
  <c r="L53" i="6"/>
  <c r="N53" i="6"/>
  <c r="P53" i="6"/>
  <c r="Q53" i="6"/>
  <c r="R53" i="6"/>
  <c r="S53" i="6"/>
  <c r="T53" i="6"/>
  <c r="G54" i="6"/>
  <c r="J54" i="6"/>
  <c r="K54" i="6"/>
  <c r="L54" i="6"/>
  <c r="N54" i="6"/>
  <c r="P54" i="6"/>
  <c r="Q54" i="6"/>
  <c r="R54" i="6"/>
  <c r="S54" i="6"/>
  <c r="T54" i="6"/>
  <c r="G55" i="6"/>
  <c r="J55" i="6"/>
  <c r="K55" i="6"/>
  <c r="L55" i="6"/>
  <c r="N55" i="6"/>
  <c r="P55" i="6"/>
  <c r="Q55" i="6"/>
  <c r="R55" i="6"/>
  <c r="S55" i="6"/>
  <c r="T55" i="6"/>
  <c r="G56" i="6"/>
  <c r="J56" i="6"/>
  <c r="K56" i="6"/>
  <c r="L56" i="6"/>
  <c r="N56" i="6"/>
  <c r="P56" i="6"/>
  <c r="Q56" i="6"/>
  <c r="R56" i="6"/>
  <c r="S56" i="6"/>
  <c r="T56" i="6"/>
  <c r="G57" i="6"/>
  <c r="J57" i="6"/>
  <c r="K57" i="6"/>
  <c r="L57" i="6"/>
  <c r="N57" i="6"/>
  <c r="P57" i="6"/>
  <c r="Q57" i="6"/>
  <c r="R57" i="6"/>
  <c r="S57" i="6"/>
  <c r="T57" i="6"/>
  <c r="G58" i="6"/>
  <c r="J58" i="6"/>
  <c r="K58" i="6"/>
  <c r="L58" i="6"/>
  <c r="N58" i="6"/>
  <c r="P58" i="6"/>
  <c r="Q58" i="6"/>
  <c r="R58" i="6"/>
  <c r="S58" i="6"/>
  <c r="T58" i="6"/>
  <c r="G59" i="6"/>
  <c r="J59" i="6"/>
  <c r="K59" i="6"/>
  <c r="L59" i="6"/>
  <c r="N59" i="6"/>
  <c r="P59" i="6"/>
  <c r="Q59" i="6"/>
  <c r="R59" i="6"/>
  <c r="S59" i="6"/>
  <c r="T59" i="6"/>
  <c r="H32" i="5"/>
  <c r="F38" i="6" s="1"/>
  <c r="H31" i="5"/>
  <c r="F37" i="6" s="1"/>
  <c r="H30" i="5"/>
  <c r="F36" i="6" s="1"/>
  <c r="H29" i="5"/>
  <c r="F35" i="6" s="1"/>
  <c r="H22" i="5"/>
  <c r="F20" i="6" s="1"/>
  <c r="H12" i="5"/>
  <c r="H13" i="5"/>
  <c r="H14" i="5"/>
  <c r="H15" i="5"/>
  <c r="H16" i="5"/>
  <c r="H17" i="5"/>
  <c r="H18" i="5"/>
  <c r="H19" i="5"/>
  <c r="H20" i="5"/>
  <c r="H21" i="5"/>
  <c r="F25" i="6" s="1"/>
  <c r="H23" i="5"/>
  <c r="F21" i="6" s="1"/>
  <c r="H24" i="5"/>
  <c r="F22" i="6" s="1"/>
  <c r="H25" i="5"/>
  <c r="F23" i="6" s="1"/>
  <c r="H26" i="5"/>
  <c r="H27" i="5"/>
  <c r="F33" i="6" s="1"/>
  <c r="H28" i="5"/>
  <c r="F34" i="6" s="1"/>
  <c r="H33" i="5"/>
  <c r="H34" i="5"/>
  <c r="H35" i="5"/>
  <c r="H36" i="5"/>
  <c r="H37" i="5"/>
  <c r="H38" i="5"/>
  <c r="H39" i="5"/>
  <c r="H40" i="5"/>
  <c r="H11" i="5"/>
  <c r="AC54" i="6"/>
  <c r="AD54" i="6"/>
  <c r="AC55" i="6"/>
  <c r="AD55" i="6"/>
  <c r="AC56" i="6"/>
  <c r="AD56" i="6"/>
  <c r="AC57" i="6"/>
  <c r="AD57" i="6"/>
  <c r="AC58" i="6"/>
  <c r="AD58" i="6"/>
  <c r="AC59" i="6"/>
  <c r="AD59" i="6"/>
  <c r="AC49" i="6"/>
  <c r="AD49" i="6"/>
  <c r="AC50" i="6"/>
  <c r="AD50" i="6"/>
  <c r="AC51" i="6"/>
  <c r="AD51" i="6"/>
  <c r="AC52" i="6"/>
  <c r="AD52" i="6"/>
  <c r="AC53" i="6"/>
  <c r="AD53" i="6"/>
  <c r="AC21" i="6"/>
  <c r="AD21" i="6"/>
  <c r="AC22" i="6"/>
  <c r="AD22" i="6"/>
  <c r="AC23" i="6"/>
  <c r="AD23" i="6"/>
  <c r="AC24" i="6"/>
  <c r="AD24" i="6"/>
  <c r="AC25" i="6"/>
  <c r="AD25" i="6"/>
  <c r="AC26" i="6"/>
  <c r="AD26" i="6"/>
  <c r="AC27" i="6"/>
  <c r="AD27" i="6"/>
  <c r="AC28" i="6"/>
  <c r="AD28" i="6"/>
  <c r="AC29" i="6"/>
  <c r="AD29" i="6"/>
  <c r="AC30" i="6"/>
  <c r="AO23" i="6" s="1"/>
  <c r="AD30" i="6"/>
  <c r="AC31" i="6"/>
  <c r="AD31" i="6"/>
  <c r="AC32" i="6"/>
  <c r="AD32" i="6"/>
  <c r="AC33" i="6"/>
  <c r="AD33" i="6"/>
  <c r="AC34" i="6"/>
  <c r="AD34" i="6"/>
  <c r="AC35" i="6"/>
  <c r="AD35" i="6"/>
  <c r="AC36" i="6"/>
  <c r="AD36" i="6"/>
  <c r="AC37" i="6"/>
  <c r="AD37" i="6"/>
  <c r="AC38" i="6"/>
  <c r="AD38" i="6"/>
  <c r="AC39" i="6"/>
  <c r="AD39" i="6"/>
  <c r="AC40" i="6"/>
  <c r="AD40" i="6"/>
  <c r="AC41" i="6"/>
  <c r="AD41" i="6"/>
  <c r="AC42" i="6"/>
  <c r="AD42" i="6"/>
  <c r="AC43" i="6"/>
  <c r="AD43" i="6"/>
  <c r="AC44" i="6"/>
  <c r="AD44" i="6"/>
  <c r="AC45" i="6"/>
  <c r="AD45" i="6"/>
  <c r="AC46" i="6"/>
  <c r="AD46" i="6"/>
  <c r="AC47" i="6"/>
  <c r="AD47" i="6"/>
  <c r="AC48" i="6"/>
  <c r="AD48" i="6"/>
  <c r="AD20" i="6"/>
  <c r="AC20" i="6"/>
  <c r="O20" i="6"/>
  <c r="N20" i="6"/>
  <c r="U21" i="6"/>
  <c r="V21" i="6"/>
  <c r="W21" i="6"/>
  <c r="X21" i="6"/>
  <c r="Y21" i="6"/>
  <c r="U22" i="6"/>
  <c r="V22" i="6"/>
  <c r="W22" i="6"/>
  <c r="X22" i="6"/>
  <c r="Y22" i="6"/>
  <c r="U23" i="6"/>
  <c r="V23" i="6"/>
  <c r="X23" i="6"/>
  <c r="Y23" i="6"/>
  <c r="U24" i="6"/>
  <c r="V24" i="6"/>
  <c r="X24" i="6"/>
  <c r="Y24" i="6"/>
  <c r="U25" i="6"/>
  <c r="V25" i="6"/>
  <c r="W25" i="6"/>
  <c r="X25" i="6"/>
  <c r="U26" i="6"/>
  <c r="V26" i="6"/>
  <c r="W26" i="6"/>
  <c r="X26" i="6"/>
  <c r="Y26" i="6"/>
  <c r="U27" i="6"/>
  <c r="V27" i="6"/>
  <c r="W27" i="6"/>
  <c r="X27" i="6"/>
  <c r="Y27" i="6"/>
  <c r="U28" i="6"/>
  <c r="V28" i="6"/>
  <c r="W28" i="6"/>
  <c r="X28" i="6"/>
  <c r="Y28" i="6"/>
  <c r="U29" i="6"/>
  <c r="V29" i="6"/>
  <c r="W29" i="6"/>
  <c r="X29" i="6"/>
  <c r="Y29" i="6"/>
  <c r="U30" i="6"/>
  <c r="V30" i="6"/>
  <c r="W30" i="6"/>
  <c r="X30" i="6"/>
  <c r="U31" i="6"/>
  <c r="V31" i="6"/>
  <c r="W31" i="6"/>
  <c r="X31" i="6"/>
  <c r="Y31" i="6"/>
  <c r="U32" i="6"/>
  <c r="V32" i="6"/>
  <c r="W32" i="6"/>
  <c r="X32" i="6"/>
  <c r="Y32" i="6"/>
  <c r="U33" i="6"/>
  <c r="V33" i="6"/>
  <c r="W33" i="6"/>
  <c r="X33" i="6"/>
  <c r="Y33" i="6"/>
  <c r="U34" i="6"/>
  <c r="V34" i="6"/>
  <c r="W34" i="6"/>
  <c r="X34" i="6"/>
  <c r="Y34" i="6"/>
  <c r="U35" i="6"/>
  <c r="V35" i="6"/>
  <c r="W35" i="6"/>
  <c r="X35" i="6"/>
  <c r="Y35" i="6"/>
  <c r="U36" i="6"/>
  <c r="V36" i="6"/>
  <c r="W36" i="6"/>
  <c r="X36" i="6"/>
  <c r="Y36" i="6"/>
  <c r="U37" i="6"/>
  <c r="V37" i="6"/>
  <c r="W37" i="6"/>
  <c r="X37" i="6"/>
  <c r="Y37" i="6"/>
  <c r="U38" i="6"/>
  <c r="V38" i="6"/>
  <c r="W38" i="6"/>
  <c r="X38" i="6"/>
  <c r="Y38" i="6"/>
  <c r="U39" i="6"/>
  <c r="V39" i="6"/>
  <c r="W39" i="6"/>
  <c r="X39" i="6"/>
  <c r="Y39" i="6"/>
  <c r="U40" i="6"/>
  <c r="V40" i="6"/>
  <c r="W40" i="6"/>
  <c r="X40" i="6"/>
  <c r="Y40" i="6"/>
  <c r="U41" i="6"/>
  <c r="V41" i="6"/>
  <c r="W41" i="6"/>
  <c r="X41" i="6"/>
  <c r="Y41" i="6"/>
  <c r="U42" i="6"/>
  <c r="V42" i="6"/>
  <c r="W42" i="6"/>
  <c r="X42" i="6"/>
  <c r="Y42" i="6"/>
  <c r="U43" i="6"/>
  <c r="V43" i="6"/>
  <c r="W43" i="6"/>
  <c r="X43" i="6"/>
  <c r="Y43" i="6"/>
  <c r="U44" i="6"/>
  <c r="V44" i="6"/>
  <c r="W44" i="6"/>
  <c r="X44" i="6"/>
  <c r="Y44" i="6"/>
  <c r="U45" i="6"/>
  <c r="V45" i="6"/>
  <c r="W45" i="6"/>
  <c r="X45" i="6"/>
  <c r="Y45" i="6"/>
  <c r="U46" i="6"/>
  <c r="V46" i="6"/>
  <c r="W46" i="6"/>
  <c r="X46" i="6"/>
  <c r="Y46" i="6"/>
  <c r="U47" i="6"/>
  <c r="V47" i="6"/>
  <c r="W47" i="6"/>
  <c r="X47" i="6"/>
  <c r="Y47" i="6"/>
  <c r="U48" i="6"/>
  <c r="V48" i="6"/>
  <c r="W48" i="6"/>
  <c r="X48" i="6"/>
  <c r="Y48" i="6"/>
  <c r="U49" i="6"/>
  <c r="V49" i="6"/>
  <c r="W49" i="6"/>
  <c r="X49" i="6"/>
  <c r="Y49" i="6"/>
  <c r="U50" i="6"/>
  <c r="V50" i="6"/>
  <c r="W50" i="6"/>
  <c r="X50" i="6"/>
  <c r="Y50" i="6"/>
  <c r="U51" i="6"/>
  <c r="V51" i="6"/>
  <c r="W51" i="6"/>
  <c r="X51" i="6"/>
  <c r="Y51" i="6"/>
  <c r="U52" i="6"/>
  <c r="V52" i="6"/>
  <c r="W52" i="6"/>
  <c r="X52" i="6"/>
  <c r="Y52" i="6"/>
  <c r="U53" i="6"/>
  <c r="V53" i="6"/>
  <c r="W53" i="6"/>
  <c r="X53" i="6"/>
  <c r="Y53" i="6"/>
  <c r="U54" i="6"/>
  <c r="V54" i="6"/>
  <c r="W54" i="6"/>
  <c r="X54" i="6"/>
  <c r="Y54" i="6"/>
  <c r="U55" i="6"/>
  <c r="V55" i="6"/>
  <c r="W55" i="6"/>
  <c r="X55" i="6"/>
  <c r="Y55" i="6"/>
  <c r="U56" i="6"/>
  <c r="V56" i="6"/>
  <c r="W56" i="6"/>
  <c r="X56" i="6"/>
  <c r="Y56" i="6"/>
  <c r="U57" i="6"/>
  <c r="V57" i="6"/>
  <c r="W57" i="6"/>
  <c r="X57" i="6"/>
  <c r="Y57" i="6"/>
  <c r="U58" i="6"/>
  <c r="V58" i="6"/>
  <c r="W58" i="6"/>
  <c r="X58" i="6"/>
  <c r="Y58" i="6"/>
  <c r="U59" i="6"/>
  <c r="V59" i="6"/>
  <c r="W59" i="6"/>
  <c r="X59" i="6"/>
  <c r="Y59" i="6"/>
  <c r="Q20" i="6"/>
  <c r="K20" i="6"/>
  <c r="P20" i="6"/>
  <c r="J20" i="6"/>
  <c r="X20" i="6"/>
  <c r="V20" i="6"/>
  <c r="U20" i="6"/>
  <c r="Y20" i="6"/>
  <c r="W20" i="6"/>
  <c r="T20" i="6"/>
  <c r="E41" i="7" s="1"/>
  <c r="G36" i="6" l="1"/>
  <c r="H36" i="6" s="1"/>
  <c r="G30" i="6"/>
  <c r="G24" i="6"/>
  <c r="G23" i="6"/>
  <c r="H23" i="6" s="1"/>
  <c r="AA23" i="6" s="1"/>
  <c r="E56" i="7"/>
  <c r="E44" i="7"/>
  <c r="G35" i="6"/>
  <c r="H35" i="6" s="1"/>
  <c r="D43" i="12" s="1"/>
  <c r="E59" i="7"/>
  <c r="G38" i="6"/>
  <c r="H38" i="6" s="1"/>
  <c r="D46" i="12" s="1"/>
  <c r="E55" i="7"/>
  <c r="G34" i="6"/>
  <c r="H34" i="6" s="1"/>
  <c r="AA34" i="6" s="1"/>
  <c r="C55" i="7" s="1"/>
  <c r="G32" i="6"/>
  <c r="G26" i="6"/>
  <c r="E43" i="7"/>
  <c r="G22" i="6"/>
  <c r="H22" i="6" s="1"/>
  <c r="G21" i="6"/>
  <c r="H21" i="6" s="1"/>
  <c r="H56" i="6"/>
  <c r="AA56" i="6" s="1"/>
  <c r="C77" i="7" s="1"/>
  <c r="H52" i="6"/>
  <c r="AA52" i="6" s="1"/>
  <c r="C73" i="7" s="1"/>
  <c r="H48" i="6"/>
  <c r="AA48" i="6" s="1"/>
  <c r="C69" i="7" s="1"/>
  <c r="H44" i="6"/>
  <c r="AA44" i="6" s="1"/>
  <c r="C65" i="7" s="1"/>
  <c r="H40" i="6"/>
  <c r="AA40" i="6" s="1"/>
  <c r="C61" i="7" s="1"/>
  <c r="G28" i="6"/>
  <c r="G31" i="6"/>
  <c r="G25" i="6"/>
  <c r="H25" i="6" s="1"/>
  <c r="AA25" i="6" s="1"/>
  <c r="G37" i="6"/>
  <c r="H37" i="6" s="1"/>
  <c r="G33" i="6"/>
  <c r="H33" i="6" s="1"/>
  <c r="G29" i="6"/>
  <c r="G27" i="6"/>
  <c r="H57" i="6"/>
  <c r="AA57" i="6" s="1"/>
  <c r="C78" i="7" s="1"/>
  <c r="H53" i="6"/>
  <c r="AA53" i="6" s="1"/>
  <c r="C74" i="7" s="1"/>
  <c r="H49" i="6"/>
  <c r="AA49" i="6" s="1"/>
  <c r="C70" i="7" s="1"/>
  <c r="H45" i="6"/>
  <c r="AA45" i="6" s="1"/>
  <c r="C66" i="7" s="1"/>
  <c r="H41" i="6"/>
  <c r="AA41" i="6" s="1"/>
  <c r="C62" i="7" s="1"/>
  <c r="H58" i="6"/>
  <c r="AA58" i="6" s="1"/>
  <c r="C79" i="7" s="1"/>
  <c r="H54" i="6"/>
  <c r="AA54" i="6" s="1"/>
  <c r="C75" i="7" s="1"/>
  <c r="H50" i="6"/>
  <c r="AA50" i="6" s="1"/>
  <c r="C71" i="7" s="1"/>
  <c r="H46" i="6"/>
  <c r="AA46" i="6" s="1"/>
  <c r="C67" i="7" s="1"/>
  <c r="H42" i="6"/>
  <c r="AA42" i="6" s="1"/>
  <c r="C63" i="7" s="1"/>
  <c r="H59" i="6"/>
  <c r="AA59" i="6" s="1"/>
  <c r="C80" i="7" s="1"/>
  <c r="H55" i="6"/>
  <c r="AA55" i="6" s="1"/>
  <c r="C76" i="7" s="1"/>
  <c r="H51" i="6"/>
  <c r="AA51" i="6" s="1"/>
  <c r="C72" i="7" s="1"/>
  <c r="H47" i="6"/>
  <c r="AA47" i="6" s="1"/>
  <c r="C68" i="7" s="1"/>
  <c r="H43" i="6"/>
  <c r="AA43" i="6" s="1"/>
  <c r="C64" i="7" s="1"/>
  <c r="H39" i="6"/>
  <c r="AA39" i="6" s="1"/>
  <c r="C60" i="7" s="1"/>
  <c r="AP26" i="6"/>
  <c r="AO26" i="6"/>
  <c r="A78" i="7"/>
  <c r="B78" i="7"/>
  <c r="E78" i="7"/>
  <c r="A70" i="7"/>
  <c r="B70" i="7"/>
  <c r="E70" i="7"/>
  <c r="A62" i="7"/>
  <c r="B62" i="7"/>
  <c r="E62" i="7"/>
  <c r="B54" i="7"/>
  <c r="A54" i="7"/>
  <c r="B46" i="7"/>
  <c r="A46" i="7"/>
  <c r="AP20" i="6"/>
  <c r="AO20" i="6"/>
  <c r="A41" i="7"/>
  <c r="B41" i="7"/>
  <c r="A73" i="7"/>
  <c r="B73" i="7"/>
  <c r="E73" i="7"/>
  <c r="A65" i="7"/>
  <c r="B65" i="7"/>
  <c r="E65" i="7"/>
  <c r="A57" i="7"/>
  <c r="B57" i="7"/>
  <c r="A49" i="7"/>
  <c r="B49" i="7"/>
  <c r="A79" i="7"/>
  <c r="E79" i="7"/>
  <c r="B79" i="7"/>
  <c r="A75" i="7"/>
  <c r="B75" i="7"/>
  <c r="E75" i="7"/>
  <c r="A71" i="7"/>
  <c r="B71" i="7"/>
  <c r="E71" i="7"/>
  <c r="A67" i="7"/>
  <c r="B67" i="7"/>
  <c r="E67" i="7"/>
  <c r="A63" i="7"/>
  <c r="B63" i="7"/>
  <c r="E63" i="7"/>
  <c r="B59" i="7"/>
  <c r="A59" i="7"/>
  <c r="A55" i="7"/>
  <c r="B55" i="7"/>
  <c r="A51" i="7"/>
  <c r="B51" i="7"/>
  <c r="B47" i="7"/>
  <c r="A47" i="7"/>
  <c r="A43" i="7"/>
  <c r="B43" i="7"/>
  <c r="E57" i="7"/>
  <c r="E49" i="7"/>
  <c r="AP28" i="6"/>
  <c r="AO28" i="6"/>
  <c r="AO24" i="6"/>
  <c r="AP24" i="6"/>
  <c r="AP22" i="6"/>
  <c r="AO22" i="6"/>
  <c r="A74" i="7"/>
  <c r="B74" i="7"/>
  <c r="E74" i="7"/>
  <c r="A66" i="7"/>
  <c r="B66" i="7"/>
  <c r="E66" i="7"/>
  <c r="B58" i="7"/>
  <c r="A58" i="7"/>
  <c r="B50" i="7"/>
  <c r="A50" i="7"/>
  <c r="B42" i="7"/>
  <c r="A42" i="7"/>
  <c r="A77" i="7"/>
  <c r="B77" i="7"/>
  <c r="E77" i="7"/>
  <c r="A69" i="7"/>
  <c r="B69" i="7"/>
  <c r="E69" i="7"/>
  <c r="A61" i="7"/>
  <c r="B61" i="7"/>
  <c r="E61" i="7"/>
  <c r="A53" i="7"/>
  <c r="B53" i="7"/>
  <c r="A45" i="7"/>
  <c r="B45" i="7"/>
  <c r="AO29" i="6"/>
  <c r="AP29" i="6"/>
  <c r="AP27" i="6"/>
  <c r="AO27" i="6"/>
  <c r="AO25" i="6"/>
  <c r="AP25" i="6"/>
  <c r="AP21" i="6"/>
  <c r="AO21" i="6"/>
  <c r="A80" i="7"/>
  <c r="B80" i="7"/>
  <c r="E80" i="7"/>
  <c r="A76" i="7"/>
  <c r="B76" i="7"/>
  <c r="E76" i="7"/>
  <c r="A72" i="7"/>
  <c r="B72" i="7"/>
  <c r="E72" i="7"/>
  <c r="A68" i="7"/>
  <c r="B68" i="7"/>
  <c r="E68" i="7"/>
  <c r="A64" i="7"/>
  <c r="B64" i="7"/>
  <c r="E64" i="7"/>
  <c r="A60" i="7"/>
  <c r="B60" i="7"/>
  <c r="E60" i="7"/>
  <c r="B56" i="7"/>
  <c r="A56" i="7"/>
  <c r="A52" i="7"/>
  <c r="B52" i="7"/>
  <c r="B48" i="7"/>
  <c r="A48" i="7"/>
  <c r="B44" i="7"/>
  <c r="A44" i="7"/>
  <c r="E58" i="7"/>
  <c r="E54" i="7"/>
  <c r="E42" i="7"/>
  <c r="I51" i="6"/>
  <c r="AP23" i="6"/>
  <c r="F32" i="6"/>
  <c r="F27" i="6"/>
  <c r="M55" i="6"/>
  <c r="M51" i="6"/>
  <c r="M43" i="6"/>
  <c r="F24" i="6"/>
  <c r="M39" i="6"/>
  <c r="M59" i="6"/>
  <c r="M40" i="6"/>
  <c r="F28" i="6"/>
  <c r="M58" i="6"/>
  <c r="M56" i="6"/>
  <c r="M47" i="6"/>
  <c r="M45" i="6"/>
  <c r="M42" i="6"/>
  <c r="F31" i="6"/>
  <c r="M53" i="6"/>
  <c r="M50" i="6"/>
  <c r="M48" i="6"/>
  <c r="F30" i="6"/>
  <c r="F26" i="6"/>
  <c r="M49" i="6"/>
  <c r="M46" i="6"/>
  <c r="M44" i="6"/>
  <c r="M57" i="6"/>
  <c r="M54" i="6"/>
  <c r="M52" i="6"/>
  <c r="M41" i="6"/>
  <c r="F29" i="6"/>
  <c r="AA21" i="6" l="1"/>
  <c r="C42" i="7" s="1"/>
  <c r="AA37" i="6"/>
  <c r="D45" i="12"/>
  <c r="AA36" i="6"/>
  <c r="C57" i="7" s="1"/>
  <c r="D44" i="12"/>
  <c r="I41" i="6"/>
  <c r="H27" i="6"/>
  <c r="AA27" i="6" s="1"/>
  <c r="C48" i="7" s="1"/>
  <c r="I49" i="6"/>
  <c r="I45" i="6"/>
  <c r="AA38" i="6"/>
  <c r="I38" i="6"/>
  <c r="I40" i="6"/>
  <c r="I44" i="6"/>
  <c r="I56" i="6"/>
  <c r="I36" i="6"/>
  <c r="I25" i="6"/>
  <c r="AA22" i="6"/>
  <c r="C43" i="7" s="1"/>
  <c r="I22" i="6"/>
  <c r="AA35" i="6"/>
  <c r="C56" i="7" s="1"/>
  <c r="I35" i="6"/>
  <c r="AA33" i="6"/>
  <c r="C54" i="7" s="1"/>
  <c r="I33" i="6"/>
  <c r="I27" i="6"/>
  <c r="I48" i="6"/>
  <c r="I52" i="6"/>
  <c r="I37" i="6"/>
  <c r="I42" i="6"/>
  <c r="I47" i="6"/>
  <c r="I57" i="6"/>
  <c r="I46" i="6"/>
  <c r="I43" i="6"/>
  <c r="I58" i="6"/>
  <c r="I34" i="6"/>
  <c r="I59" i="6"/>
  <c r="I54" i="6"/>
  <c r="H26" i="6"/>
  <c r="AA26" i="6" s="1"/>
  <c r="C47" i="7" s="1"/>
  <c r="H30" i="6"/>
  <c r="AA30" i="6" s="1"/>
  <c r="I21" i="6"/>
  <c r="H32" i="6"/>
  <c r="AA32" i="6" s="1"/>
  <c r="C53" i="7" s="1"/>
  <c r="I55" i="6"/>
  <c r="H31" i="6"/>
  <c r="AA31" i="6" s="1"/>
  <c r="C52" i="7" s="1"/>
  <c r="H24" i="6"/>
  <c r="AA24" i="6" s="1"/>
  <c r="C45" i="7" s="1"/>
  <c r="I53" i="6"/>
  <c r="H28" i="6"/>
  <c r="AA28" i="6" s="1"/>
  <c r="C49" i="7" s="1"/>
  <c r="I50" i="6"/>
  <c r="I39" i="6"/>
  <c r="H29" i="6"/>
  <c r="AA29" i="6" s="1"/>
  <c r="C50" i="7" s="1"/>
  <c r="I23" i="6"/>
  <c r="M24" i="13"/>
  <c r="F24" i="13" s="1"/>
  <c r="M26" i="13"/>
  <c r="F26" i="13" s="1"/>
  <c r="M23" i="13"/>
  <c r="F23" i="13" s="1"/>
  <c r="M25" i="13"/>
  <c r="F25" i="13" s="1"/>
  <c r="G20" i="6"/>
  <c r="H20" i="6" s="1"/>
  <c r="D5" i="5"/>
  <c r="E5" i="5" s="1"/>
  <c r="W12" i="5"/>
  <c r="U12" i="5" s="1"/>
  <c r="N12" i="5" s="1"/>
  <c r="W13" i="5"/>
  <c r="U13" i="5" s="1"/>
  <c r="N13" i="5" s="1"/>
  <c r="W14" i="5"/>
  <c r="U14" i="5" s="1"/>
  <c r="N14" i="5" s="1"/>
  <c r="R14" i="5" s="1"/>
  <c r="W15" i="5"/>
  <c r="U15" i="5" s="1"/>
  <c r="N15" i="5" s="1"/>
  <c r="R15" i="5" s="1"/>
  <c r="W16" i="5"/>
  <c r="U16" i="5" s="1"/>
  <c r="N16" i="5" s="1"/>
  <c r="R16" i="5" s="1"/>
  <c r="W17" i="5"/>
  <c r="U17" i="5" s="1"/>
  <c r="N17" i="5" s="1"/>
  <c r="R17" i="5" s="1"/>
  <c r="W18" i="5"/>
  <c r="U18" i="5" s="1"/>
  <c r="N18" i="5" s="1"/>
  <c r="R18" i="5" s="1"/>
  <c r="W19" i="5"/>
  <c r="U19" i="5" s="1"/>
  <c r="N19" i="5" s="1"/>
  <c r="R19" i="5" s="1"/>
  <c r="W20" i="5"/>
  <c r="U20" i="5" s="1"/>
  <c r="N20" i="5" s="1"/>
  <c r="W21" i="5"/>
  <c r="U21" i="5" s="1"/>
  <c r="N21" i="5" s="1"/>
  <c r="W11" i="5"/>
  <c r="U11" i="5" s="1"/>
  <c r="N11" i="5" s="1"/>
  <c r="A6" i="6"/>
  <c r="A4" i="6"/>
  <c r="A3" i="6"/>
  <c r="C10" i="7"/>
  <c r="K34" i="5" l="1"/>
  <c r="K33" i="5"/>
  <c r="AA20" i="6"/>
  <c r="C41" i="7" s="1"/>
  <c r="D41" i="12"/>
  <c r="D42" i="12"/>
  <c r="K26" i="5"/>
  <c r="K25" i="5"/>
  <c r="K23" i="6" s="1"/>
  <c r="N26" i="6"/>
  <c r="N32" i="6"/>
  <c r="N24" i="6"/>
  <c r="N25" i="6"/>
  <c r="N31" i="6"/>
  <c r="N30" i="6"/>
  <c r="N27" i="6"/>
  <c r="N29" i="6"/>
  <c r="I31" i="6"/>
  <c r="I24" i="6"/>
  <c r="I30" i="6"/>
  <c r="I29" i="6"/>
  <c r="I28" i="6"/>
  <c r="I32" i="6"/>
  <c r="I26" i="6"/>
  <c r="F5" i="5"/>
  <c r="A2" i="6" s="1"/>
  <c r="L23" i="6"/>
  <c r="L36" i="6"/>
  <c r="M36" i="6" s="1"/>
  <c r="L22" i="6"/>
  <c r="M22" i="6" s="1"/>
  <c r="L28" i="6"/>
  <c r="M28" i="6" s="1"/>
  <c r="L34" i="6"/>
  <c r="M34" i="6" s="1"/>
  <c r="L37" i="6"/>
  <c r="M37" i="6" s="1"/>
  <c r="L21" i="6"/>
  <c r="L33" i="6"/>
  <c r="M33" i="6" s="1"/>
  <c r="L35" i="6"/>
  <c r="M35" i="6" s="1"/>
  <c r="L38" i="6"/>
  <c r="M38" i="6" s="1"/>
  <c r="L25" i="6"/>
  <c r="M25" i="6" s="1"/>
  <c r="R25" i="6"/>
  <c r="L27" i="6"/>
  <c r="M27" i="6" s="1"/>
  <c r="R27" i="6"/>
  <c r="L29" i="6"/>
  <c r="M29" i="6" s="1"/>
  <c r="R29" i="6"/>
  <c r="L31" i="6"/>
  <c r="M31" i="6" s="1"/>
  <c r="R31" i="6"/>
  <c r="L24" i="6"/>
  <c r="M24" i="6" s="1"/>
  <c r="R24" i="6"/>
  <c r="L26" i="6"/>
  <c r="M26" i="6" s="1"/>
  <c r="R26" i="6"/>
  <c r="L30" i="6"/>
  <c r="M30" i="6" s="1"/>
  <c r="R30" i="6"/>
  <c r="L32" i="6"/>
  <c r="M32" i="6" s="1"/>
  <c r="R32" i="6"/>
  <c r="R21" i="5"/>
  <c r="R20" i="6"/>
  <c r="L20" i="6"/>
  <c r="M20" i="6" s="1"/>
  <c r="R11" i="5"/>
  <c r="S20" i="6" s="1"/>
  <c r="R13" i="5"/>
  <c r="R20" i="5"/>
  <c r="W23" i="6" s="1"/>
  <c r="C44" i="7" s="1"/>
  <c r="R12" i="5"/>
  <c r="C12" i="7"/>
  <c r="M23" i="6" l="1"/>
  <c r="G5" i="5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25" i="6"/>
  <c r="E46" i="7" s="1"/>
  <c r="T31" i="6"/>
  <c r="E52" i="7" s="1"/>
  <c r="T27" i="6"/>
  <c r="E48" i="7" s="1"/>
  <c r="T29" i="6"/>
  <c r="E50" i="7" s="1"/>
  <c r="T26" i="6"/>
  <c r="E47" i="7" s="1"/>
  <c r="T32" i="6"/>
  <c r="E53" i="7" s="1"/>
  <c r="T24" i="6"/>
  <c r="E45" i="7" s="1"/>
  <c r="T30" i="6"/>
  <c r="E51" i="7" s="1"/>
  <c r="M21" i="13"/>
  <c r="S24" i="6"/>
  <c r="S26" i="6"/>
  <c r="S30" i="6"/>
  <c r="S32" i="6"/>
  <c r="S27" i="6"/>
  <c r="S31" i="6"/>
  <c r="S25" i="6"/>
  <c r="S29" i="6"/>
  <c r="M20" i="13"/>
  <c r="Y25" i="6"/>
  <c r="C46" i="7" s="1"/>
  <c r="Y30" i="6"/>
  <c r="C51" i="7" s="1"/>
  <c r="I20" i="6"/>
  <c r="E8" i="7"/>
  <c r="Z37" i="6" l="1"/>
  <c r="C58" i="7" s="1"/>
  <c r="Z38" i="6"/>
  <c r="C59" i="7" s="1"/>
  <c r="E14" i="13"/>
  <c r="C15" i="12"/>
  <c r="C13" i="12"/>
  <c r="D38" i="12" s="1"/>
  <c r="C6" i="7"/>
  <c r="C4" i="7" l="1"/>
  <c r="AD13" i="6" s="1"/>
  <c r="A1" i="13" s="1"/>
  <c r="C7" i="7"/>
  <c r="B5" i="14" s="1"/>
  <c r="C14" i="7"/>
  <c r="AD10" i="6" s="1"/>
  <c r="C13" i="7"/>
  <c r="C15" i="7"/>
  <c r="AD11" i="6" s="1"/>
  <c r="C8" i="7"/>
  <c r="C9" i="7" l="1"/>
  <c r="C5" i="13" s="1"/>
  <c r="B3" i="14"/>
  <c r="B6" i="14"/>
  <c r="AD9" i="6"/>
  <c r="D34" i="14"/>
  <c r="C34" i="14"/>
  <c r="D33" i="14"/>
  <c r="C33" i="14"/>
  <c r="D32" i="14"/>
  <c r="C32" i="14"/>
  <c r="D31" i="14"/>
  <c r="C31" i="14"/>
  <c r="D28" i="14"/>
  <c r="C28" i="14"/>
  <c r="D26" i="14"/>
  <c r="C26" i="14"/>
  <c r="D25" i="14"/>
  <c r="C25" i="14"/>
  <c r="E24" i="14"/>
  <c r="C24" i="14"/>
  <c r="E23" i="14"/>
  <c r="C23" i="14"/>
  <c r="E22" i="14"/>
  <c r="C22" i="14"/>
  <c r="E21" i="14"/>
  <c r="C21" i="14"/>
  <c r="E20" i="14"/>
  <c r="C20" i="14"/>
  <c r="D19" i="14"/>
  <c r="C19" i="14"/>
  <c r="D18" i="14"/>
  <c r="C18" i="14"/>
  <c r="D17" i="14"/>
  <c r="C17" i="14"/>
  <c r="E16" i="14"/>
  <c r="D16" i="14"/>
  <c r="C16" i="14"/>
  <c r="D15" i="14"/>
  <c r="C15" i="14"/>
  <c r="D14" i="14"/>
  <c r="C14" i="14"/>
  <c r="D13" i="14"/>
  <c r="C13" i="14"/>
  <c r="D11" i="14"/>
  <c r="C11" i="14"/>
  <c r="D10" i="14"/>
  <c r="C10" i="14"/>
  <c r="F20" i="13"/>
  <c r="D20" i="13" s="1"/>
  <c r="F22" i="13"/>
  <c r="F21" i="13"/>
  <c r="K35" i="5"/>
  <c r="A21" i="6"/>
  <c r="A22" i="6" s="1"/>
  <c r="K23" i="5"/>
  <c r="K21" i="6" s="1"/>
  <c r="M21" i="6" s="1"/>
  <c r="C19" i="12"/>
  <c r="C20" i="12"/>
  <c r="C21" i="12"/>
  <c r="K39" i="5"/>
  <c r="D9" i="7"/>
  <c r="W1" i="13"/>
  <c r="D38" i="7" l="1"/>
  <c r="A38" i="7"/>
  <c r="B4" i="14"/>
  <c r="A23" i="6"/>
  <c r="C14" i="12"/>
  <c r="C12" i="12"/>
  <c r="M22" i="13"/>
  <c r="D30" i="14"/>
  <c r="E30" i="14"/>
  <c r="B4" i="12"/>
  <c r="M4" i="13"/>
  <c r="B3" i="12"/>
  <c r="M5" i="13"/>
  <c r="B6" i="12"/>
  <c r="B5" i="12"/>
  <c r="C11" i="12" l="1"/>
  <c r="A24" i="6"/>
  <c r="C10" i="12"/>
  <c r="D12" i="12"/>
  <c r="C22" i="12" l="1"/>
  <c r="A25" i="6"/>
  <c r="D35" i="12"/>
  <c r="D10" i="12"/>
  <c r="D11" i="12"/>
  <c r="C23" i="12" l="1"/>
  <c r="D23" i="12" s="1"/>
  <c r="D25" i="12" s="1"/>
  <c r="D26" i="12" s="1"/>
  <c r="A26" i="6"/>
  <c r="D13" i="12"/>
  <c r="D39" i="12" s="1"/>
  <c r="C25" i="12" l="1"/>
  <c r="C26" i="12" s="1"/>
  <c r="D37" i="12" s="1"/>
  <c r="D36" i="12"/>
  <c r="A27" i="6"/>
  <c r="C28" i="12" l="1"/>
  <c r="D28" i="12" s="1"/>
  <c r="A28" i="6"/>
  <c r="C29" i="12" l="1"/>
  <c r="D29" i="12" s="1"/>
  <c r="A29" i="6"/>
  <c r="D12" i="14"/>
  <c r="C12" i="14"/>
  <c r="E12" i="14"/>
  <c r="C31" i="12" l="1"/>
  <c r="C32" i="12" s="1"/>
  <c r="D32" i="12" s="1"/>
  <c r="A30" i="6"/>
  <c r="J20" i="14"/>
  <c r="C36" i="14" s="1"/>
  <c r="A31" i="6" l="1"/>
  <c r="C37" i="14"/>
  <c r="A32" i="6" l="1"/>
  <c r="A33" i="6" l="1"/>
  <c r="A34" i="6" l="1"/>
  <c r="A35" i="6" l="1"/>
  <c r="A36" i="6" l="1"/>
  <c r="A37" i="6" l="1"/>
  <c r="A38" i="6" l="1"/>
  <c r="A39" i="6" l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</calcChain>
</file>

<file path=xl/connections.xml><?xml version="1.0" encoding="utf-8"?>
<connections xmlns="http://schemas.openxmlformats.org/spreadsheetml/2006/main">
  <connection id="1" sourceFile="C:\Users\Marco.Zichner\Desktop\000_Auftragsmangement_130730.xlsm" keepAlive="1" name="000_Auftragsmangement_130730" type="5" refreshedVersion="0" new="1" background="1" saveData="1">
    <dbPr connection="Provider=Microsoft.ACE.OLEDB.12.0;Password=&quot;&quot;;User ID=Admin;Data Source=C:\Users\Marco.Zichner\Desktop\000_Auftragsmangement_130730.xlsm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Vorgaenge$" commandType="3"/>
  </connection>
</connections>
</file>

<file path=xl/sharedStrings.xml><?xml version="1.0" encoding="utf-8"?>
<sst xmlns="http://schemas.openxmlformats.org/spreadsheetml/2006/main" count="467" uniqueCount="363">
  <si>
    <t>Personalkosten</t>
  </si>
  <si>
    <t>Formen reinigen</t>
  </si>
  <si>
    <t>Entformen</t>
  </si>
  <si>
    <t>Einfach</t>
  </si>
  <si>
    <t>Schwierig</t>
  </si>
  <si>
    <t>Normal</t>
  </si>
  <si>
    <t>Topcoat spritzen</t>
  </si>
  <si>
    <t>Topcoat streichen</t>
  </si>
  <si>
    <t>PU-Schaum</t>
  </si>
  <si>
    <t>Formenwachs</t>
  </si>
  <si>
    <t>€/m³</t>
  </si>
  <si>
    <t>Extrem</t>
  </si>
  <si>
    <t>Arbeitszeiten (Minuten/m²)</t>
  </si>
  <si>
    <t>Schichtdaten</t>
  </si>
  <si>
    <t>€/m²/mm</t>
  </si>
  <si>
    <t>Materialkosten (Euro/m²)</t>
  </si>
  <si>
    <t>Gewicht (g/m²)</t>
  </si>
  <si>
    <t>EP-Harz</t>
  </si>
  <si>
    <t>UP-Harz</t>
  </si>
  <si>
    <t>Kosten (€/m²)</t>
  </si>
  <si>
    <t>Formen eintrennen u. polieren</t>
  </si>
  <si>
    <t>Tempern</t>
  </si>
  <si>
    <t>RTM Aufbau vorbereiten</t>
  </si>
  <si>
    <t>VARI Aufbau vorbereiten</t>
  </si>
  <si>
    <t>Fix</t>
  </si>
  <si>
    <t>Variabel</t>
  </si>
  <si>
    <t>Material Zuschnitt</t>
  </si>
  <si>
    <t>Vakuumfolie</t>
  </si>
  <si>
    <t>Saugvlies</t>
  </si>
  <si>
    <t>Membran</t>
  </si>
  <si>
    <t>Maschinenkosten  (Euro/Stück)</t>
  </si>
  <si>
    <t>Gewicht (kg)</t>
  </si>
  <si>
    <t>Formteilkomplexität</t>
  </si>
  <si>
    <t>Harzsystem</t>
  </si>
  <si>
    <t>Teilsummen</t>
  </si>
  <si>
    <t>Produktionskosten /m²</t>
  </si>
  <si>
    <t>Arbeitszeit in Minuten /m²</t>
  </si>
  <si>
    <t>Arbeitszeit in Minuten /kg</t>
  </si>
  <si>
    <t>Oberfläche Formteil (m²)</t>
  </si>
  <si>
    <t>Qualitätsprüfung</t>
  </si>
  <si>
    <t>Menge</t>
  </si>
  <si>
    <t>Sondereinzelkosten der Fertigung</t>
  </si>
  <si>
    <t>Modellkosten</t>
  </si>
  <si>
    <t>Formkosten</t>
  </si>
  <si>
    <t>Verwaltungskostensatz</t>
  </si>
  <si>
    <t>Vertriebskostensatz</t>
  </si>
  <si>
    <t>Entwicklungskosten (86€/h) /Stück</t>
  </si>
  <si>
    <t>Fix-zeiten</t>
  </si>
  <si>
    <t>Produktionskosten /kg</t>
  </si>
  <si>
    <t>Maschine</t>
  </si>
  <si>
    <t>Verb.Mat</t>
  </si>
  <si>
    <t>Montage</t>
  </si>
  <si>
    <t>Versand Vorbereitung</t>
  </si>
  <si>
    <t xml:space="preserve">Beschneiden </t>
  </si>
  <si>
    <t>Gel-Coat spritzfähig</t>
  </si>
  <si>
    <t>Gel-Coat streichfähig</t>
  </si>
  <si>
    <t>Gel-Coat flammhemmend</t>
  </si>
  <si>
    <t>Abreissgewebe</t>
  </si>
  <si>
    <t>Formenbauharz</t>
  </si>
  <si>
    <t>UP Flammhemmend</t>
  </si>
  <si>
    <t>VAP Folie</t>
  </si>
  <si>
    <t>VE Flammhemmend</t>
  </si>
  <si>
    <t>VE Harz</t>
  </si>
  <si>
    <t>UP-Spezial</t>
  </si>
  <si>
    <t>Formbau 450 g/m²</t>
  </si>
  <si>
    <t>Bemerkungen</t>
  </si>
  <si>
    <t>Arbeitsschritt</t>
  </si>
  <si>
    <t>Warencode</t>
  </si>
  <si>
    <t>FA</t>
  </si>
  <si>
    <t>Nummer</t>
  </si>
  <si>
    <t>Silikonhaube herstellen</t>
  </si>
  <si>
    <t>Preforming</t>
  </si>
  <si>
    <t>EF-000 Entformen</t>
  </si>
  <si>
    <t>BS-000 Beschnitt</t>
  </si>
  <si>
    <t xml:space="preserve">MO-000 Montage </t>
  </si>
  <si>
    <t>QK-000 Endkontrolle</t>
  </si>
  <si>
    <t>Silikon (streichfähig)</t>
  </si>
  <si>
    <t>Protokollnummer</t>
  </si>
  <si>
    <t>Bauteilbezeichnung</t>
  </si>
  <si>
    <t>Protokollfreigabe</t>
  </si>
  <si>
    <t>Dateiablage</t>
  </si>
  <si>
    <t>Bearbeiter</t>
  </si>
  <si>
    <t>Fertigungsstatus</t>
  </si>
  <si>
    <t>Name</t>
  </si>
  <si>
    <t>Datum</t>
  </si>
  <si>
    <t>Unterschrift</t>
  </si>
  <si>
    <t>Zuschnitt</t>
  </si>
  <si>
    <t>Freigabe durch</t>
  </si>
  <si>
    <t>Änderungen</t>
  </si>
  <si>
    <t>Ansprechpartner</t>
  </si>
  <si>
    <t>Auftraggeber (Firma)</t>
  </si>
  <si>
    <t>Versand</t>
  </si>
  <si>
    <t>Mitgeltenden Dokumente</t>
  </si>
  <si>
    <t>Anfrage</t>
  </si>
  <si>
    <t>Angebot</t>
  </si>
  <si>
    <t>Auftrag</t>
  </si>
  <si>
    <t>Liefertermin</t>
  </si>
  <si>
    <t>Auftragsdaten</t>
  </si>
  <si>
    <t>Revisionsstand</t>
  </si>
  <si>
    <t>V0.1</t>
  </si>
  <si>
    <t>Freigabe</t>
  </si>
  <si>
    <t>Zichner</t>
  </si>
  <si>
    <t>Bauteil i. O.?</t>
  </si>
  <si>
    <t>Tel. | Fax. | EMail</t>
  </si>
  <si>
    <t>Fasergewicht (kg)</t>
  </si>
  <si>
    <t>Arbeitszeit</t>
  </si>
  <si>
    <t>Umfang (m)</t>
  </si>
  <si>
    <t>Frachtkosten</t>
  </si>
  <si>
    <t>Werkzeugkosten</t>
  </si>
  <si>
    <t>Rabattierung</t>
  </si>
  <si>
    <t>Wandstärke (mm)</t>
  </si>
  <si>
    <t>Listenpreis / Stück</t>
  </si>
  <si>
    <t>Geschätzter Abgabepreis / Stück</t>
  </si>
  <si>
    <t>Selbstkosten / Stück</t>
  </si>
  <si>
    <t>Herstellkosten / Stück</t>
  </si>
  <si>
    <t>Materialkosten</t>
  </si>
  <si>
    <t>Maschinenkosten</t>
  </si>
  <si>
    <t>Absolut</t>
  </si>
  <si>
    <t>Statistische Kenngrößen</t>
  </si>
  <si>
    <t>Relativ</t>
  </si>
  <si>
    <t>Fracht</t>
  </si>
  <si>
    <t>Angebot vom</t>
  </si>
  <si>
    <t>Kalkulationsblatt</t>
  </si>
  <si>
    <t>Auftrag vom</t>
  </si>
  <si>
    <t>Coating</t>
  </si>
  <si>
    <t>Coatings</t>
  </si>
  <si>
    <t>Topcoating</t>
  </si>
  <si>
    <t>Farbe</t>
  </si>
  <si>
    <t>Details</t>
  </si>
  <si>
    <t>RAL 7218</t>
  </si>
  <si>
    <t>natur</t>
  </si>
  <si>
    <t>Bauteil-gewicht</t>
  </si>
  <si>
    <t>Typ</t>
  </si>
  <si>
    <t>Coating Farbe</t>
  </si>
  <si>
    <t>Topcoating Farbe</t>
  </si>
  <si>
    <t>Coating Gewicht</t>
  </si>
  <si>
    <t>Topcoating Gewicht</t>
  </si>
  <si>
    <t>Material</t>
  </si>
  <si>
    <t>Hinweise aus der Produktion</t>
  </si>
  <si>
    <t>ML-000 Matte-Laminieren</t>
  </si>
  <si>
    <t>GL-000 Gewebe Laminieren</t>
  </si>
  <si>
    <t>FO-000 Formbau</t>
  </si>
  <si>
    <t>ZU-000 Zuschnitt</t>
  </si>
  <si>
    <t>FV-000 Formvorbereitung</t>
  </si>
  <si>
    <t>CO-000 Coating</t>
  </si>
  <si>
    <t>TE-000 Tempern</t>
  </si>
  <si>
    <t>VE-000 Versand</t>
  </si>
  <si>
    <t>CT-000 Topcoating</t>
  </si>
  <si>
    <t>ME-000 Membranherstellung</t>
  </si>
  <si>
    <t>VA-000 VARI</t>
  </si>
  <si>
    <t>RT-000 RTM</t>
  </si>
  <si>
    <t>PR-000 Preforming</t>
  </si>
  <si>
    <t>SA-000 Sandwichherstellung</t>
  </si>
  <si>
    <t>Zi</t>
  </si>
  <si>
    <t>OK</t>
  </si>
  <si>
    <t>Achtung</t>
  </si>
  <si>
    <t>Stop</t>
  </si>
  <si>
    <t>Dauer</t>
  </si>
  <si>
    <t>ja</t>
  </si>
  <si>
    <t>HL</t>
  </si>
  <si>
    <t>14 Tage Netto</t>
  </si>
  <si>
    <t>Neukunde</t>
  </si>
  <si>
    <t>nein</t>
  </si>
  <si>
    <t>VARI</t>
  </si>
  <si>
    <t>Einzelkreditrahmen</t>
  </si>
  <si>
    <t>RTM</t>
  </si>
  <si>
    <t>14 Tage 2% Skonto</t>
  </si>
  <si>
    <t xml:space="preserve">Auftragswert </t>
  </si>
  <si>
    <t>Pressen</t>
  </si>
  <si>
    <t>30 Tage 2% Skonto</t>
  </si>
  <si>
    <t>NDA "einseitig"</t>
  </si>
  <si>
    <t>Fertigungsverfahren</t>
  </si>
  <si>
    <t>Sehr gering</t>
  </si>
  <si>
    <t>Beidseitig glatt</t>
  </si>
  <si>
    <t>Gering</t>
  </si>
  <si>
    <t>Hinterschneidungsfrei</t>
  </si>
  <si>
    <t>Radien groß genug (&gt;10 mm)</t>
  </si>
  <si>
    <t>Hoch</t>
  </si>
  <si>
    <t>Materialaufbau vorgegeben</t>
  </si>
  <si>
    <t>Sehr Hoch</t>
  </si>
  <si>
    <t>Spezielle Materialien erforderlich</t>
  </si>
  <si>
    <t>Rücksprache o. Ablehen</t>
  </si>
  <si>
    <t>Vollständige Zeichungen vorhanden</t>
  </si>
  <si>
    <t>Berechneter Risikofaktor</t>
  </si>
  <si>
    <t>Maßketten geprüft</t>
  </si>
  <si>
    <t>Toleranzen einhaltbar</t>
  </si>
  <si>
    <t>Entformbar</t>
  </si>
  <si>
    <t>Farbgebung realisierbar</t>
  </si>
  <si>
    <t>Spezielle Nachbehandlung notwendig</t>
  </si>
  <si>
    <t>Externer Modellbau erforderlich</t>
  </si>
  <si>
    <t>Teilungsebenen in der Form</t>
  </si>
  <si>
    <t>Werkzeugbau erforderlich</t>
  </si>
  <si>
    <t>Geschätzte Produktionszeit pro Teil (d)</t>
  </si>
  <si>
    <t>Spezielle QS-Maßnahmen erforderlich</t>
  </si>
  <si>
    <t>Zulieferteile erforderlich</t>
  </si>
  <si>
    <t>Lieferung innerhalb Deutschland</t>
  </si>
  <si>
    <t>Verpackung und Versand geklärt</t>
  </si>
  <si>
    <t>Gesamtrisiko</t>
  </si>
  <si>
    <t>Vorgeschlagene Zahlungskonditionen</t>
  </si>
  <si>
    <t>Link</t>
  </si>
  <si>
    <t>Kunde</t>
  </si>
  <si>
    <t>Gegenstand</t>
  </si>
  <si>
    <t>Anfrage Modell</t>
  </si>
  <si>
    <t>Angebot Modell</t>
  </si>
  <si>
    <t>Kontakt</t>
  </si>
  <si>
    <t>AB-Nr</t>
  </si>
  <si>
    <t>Lieferung gem. AB</t>
  </si>
  <si>
    <t>Fertigst. Produk.</t>
  </si>
  <si>
    <t>nächste Aktion</t>
  </si>
  <si>
    <t>Ansprech-partner</t>
  </si>
  <si>
    <t>Telefon</t>
  </si>
  <si>
    <t>Nur für nicht Luftfahrtprojekte</t>
  </si>
  <si>
    <t>Lieferzeit (Arbeitstage)</t>
  </si>
  <si>
    <t>Menge [kg]</t>
  </si>
  <si>
    <t>Zeilennummer</t>
  </si>
  <si>
    <t>Glasmatte 450 g/m²</t>
  </si>
  <si>
    <t>CF Gewebe 400 g/m²</t>
  </si>
  <si>
    <t>Risiko</t>
  </si>
  <si>
    <t>21 Tage Netto</t>
  </si>
  <si>
    <t>Anzahl Bauteile</t>
  </si>
  <si>
    <t>Tätigkeiten</t>
  </si>
  <si>
    <t>Lohnkosten [EUR/h]</t>
  </si>
  <si>
    <t>VAP Aufbau vorbereiten</t>
  </si>
  <si>
    <t>Matrixwerkstoffe und Coatings</t>
  </si>
  <si>
    <t>Hilfsstoffe</t>
  </si>
  <si>
    <t>Glasmatte 150 g/m²</t>
  </si>
  <si>
    <t>Glasmatte 225 g/m²</t>
  </si>
  <si>
    <t>Glasmatte 300 g/m²</t>
  </si>
  <si>
    <t>Glasgewebe 300 g/m²</t>
  </si>
  <si>
    <t>Glasgewebe 580 g/m²</t>
  </si>
  <si>
    <t>Glasgewebe 900 g/m²</t>
  </si>
  <si>
    <t>CF Gewebe 200 g/m²</t>
  </si>
  <si>
    <t>CF Gewebe 600 g/m²</t>
  </si>
  <si>
    <t>FVG</t>
  </si>
  <si>
    <t>FMG</t>
  </si>
  <si>
    <t>Dichte F</t>
  </si>
  <si>
    <t>Dichte H</t>
  </si>
  <si>
    <t>Materialkosten (€/kg)</t>
  </si>
  <si>
    <t>Matrixsysteme</t>
  </si>
  <si>
    <t>AS</t>
  </si>
  <si>
    <t>TN</t>
  </si>
  <si>
    <t>Dichte [g/cm³]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</si>
  <si>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</si>
  <si>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</si>
  <si>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</si>
  <si>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</si>
  <si>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</si>
  <si>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</si>
  <si>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</si>
  <si>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</si>
  <si>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</si>
  <si>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</si>
  <si>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</si>
  <si>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</si>
  <si>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</si>
  <si>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</si>
  <si>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</si>
  <si>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</si>
  <si>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</si>
  <si>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</si>
  <si>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</si>
  <si>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</si>
  <si>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</si>
  <si>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</si>
  <si>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</si>
  <si>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</si>
  <si>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</si>
  <si>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</si>
  <si>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</si>
  <si>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</si>
  <si>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</si>
  <si>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</si>
  <si>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</si>
  <si>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</si>
  <si>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</si>
  <si>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</si>
  <si>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</si>
  <si>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</si>
  <si>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</si>
  <si>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H01</t>
  </si>
  <si>
    <t>H02</t>
  </si>
  <si>
    <t>H03</t>
  </si>
  <si>
    <t>H04</t>
  </si>
  <si>
    <t>H05</t>
  </si>
  <si>
    <t>H06</t>
  </si>
  <si>
    <t>Harz (g/m²)</t>
  </si>
  <si>
    <t>PK</t>
  </si>
  <si>
    <t>Harz</t>
  </si>
  <si>
    <t>Gesamt</t>
  </si>
  <si>
    <t>Stärke (mm)</t>
  </si>
  <si>
    <t>Harzgewicht (kg)</t>
  </si>
  <si>
    <t>Gesamt Gewicht (kg)</t>
  </si>
  <si>
    <t xml:space="preserve">Materialkosten </t>
  </si>
  <si>
    <t>Nebenkosten</t>
  </si>
  <si>
    <t>VebMat</t>
  </si>
  <si>
    <t>Gelcoat spritzen</t>
  </si>
  <si>
    <t>Gelcoat streichen</t>
  </si>
  <si>
    <t>Norm WZB</t>
  </si>
  <si>
    <t>Vorgaben</t>
  </si>
  <si>
    <t>Norm MLM</t>
  </si>
  <si>
    <t>Arbeitszeit (h)</t>
  </si>
  <si>
    <t>Arbeitszeit / Stück (h)</t>
  </si>
  <si>
    <t>AZ</t>
  </si>
  <si>
    <t>Zähler</t>
  </si>
  <si>
    <t>Max</t>
  </si>
  <si>
    <t>Projektnummer</t>
  </si>
  <si>
    <t>ABN</t>
  </si>
  <si>
    <t>Fertigung</t>
  </si>
  <si>
    <t>Q-Prüfung</t>
  </si>
  <si>
    <t>JA</t>
  </si>
  <si>
    <t>NEIN</t>
  </si>
  <si>
    <t>Gewicht</t>
  </si>
  <si>
    <t>Soll [kg]</t>
  </si>
  <si>
    <t>Ist [kg]</t>
  </si>
  <si>
    <t>Farbe Gelcoat</t>
  </si>
  <si>
    <t>Farbe Topcoat</t>
  </si>
  <si>
    <t>LN</t>
  </si>
  <si>
    <t>Bezeichnung</t>
  </si>
  <si>
    <t>Fehler/Fehlstelle (Was?); Beschreibung (Wo?); Erkenntniss (Warum?)</t>
  </si>
  <si>
    <t>Einwage [kg]</t>
  </si>
  <si>
    <t>Verstärkung</t>
  </si>
  <si>
    <t>MatNr</t>
  </si>
  <si>
    <t>Verbesserungsvorschläge, Reparaturmaßnahmen etc.</t>
  </si>
  <si>
    <t>Hinweise an die Produktion</t>
  </si>
  <si>
    <t>Vorbereitende Maßnahmen, Besonderheiten etc.</t>
  </si>
  <si>
    <t>Beispiele</t>
  </si>
  <si>
    <t>Angebots- und Vertragsprüfung</t>
  </si>
  <si>
    <t>V2.0</t>
  </si>
  <si>
    <t>Firma</t>
  </si>
  <si>
    <t>Ansprechp.</t>
  </si>
  <si>
    <t>Tel</t>
  </si>
  <si>
    <t>TG</t>
  </si>
  <si>
    <t>tet</t>
  </si>
  <si>
    <t>Zeiten | Parameter | Bemerkungen</t>
  </si>
  <si>
    <t>80°C 2 h</t>
  </si>
  <si>
    <t>2. Preforming</t>
  </si>
  <si>
    <t>3. Fertigung</t>
  </si>
  <si>
    <t>5. Montage</t>
  </si>
  <si>
    <t>6. Q-Prüfung</t>
  </si>
  <si>
    <t>1. Fertigungsplanung</t>
  </si>
  <si>
    <t>4. Beschnitt</t>
  </si>
  <si>
    <t>8. Versand</t>
  </si>
  <si>
    <t>7. Vers.vorbereitung</t>
  </si>
  <si>
    <t>Beschnitt</t>
  </si>
  <si>
    <t>Vers.vorbereitung</t>
  </si>
  <si>
    <t>Min</t>
  </si>
  <si>
    <t>BTN Kunde</t>
  </si>
  <si>
    <t>BTN LSK</t>
  </si>
  <si>
    <t>Zähler BT</t>
  </si>
  <si>
    <t>RT 12h</t>
  </si>
  <si>
    <t>Dateiverweis Auftragsmanagement</t>
  </si>
  <si>
    <t>X:\Auftragsmanagement\</t>
  </si>
  <si>
    <t>Pfad</t>
  </si>
  <si>
    <t xml:space="preserve">Datei </t>
  </si>
  <si>
    <t>000_Auftragsmanagement.xlsm</t>
  </si>
  <si>
    <t xml:space="preserve"> </t>
  </si>
  <si>
    <t>X:\auftragsmanagement\Testkunde\140101_Testgegenstand</t>
  </si>
  <si>
    <t>Testkunde</t>
  </si>
  <si>
    <t>Testgegenstand</t>
  </si>
  <si>
    <t>214000</t>
  </si>
  <si>
    <t>Herr Testmann</t>
  </si>
  <si>
    <t>0351 26 31 31 21</t>
  </si>
  <si>
    <t>Testnummer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</si>
</sst>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0.0%"/>
    <numFmt numFmtId="165" formatCode="0.0"/>
    <numFmt numFmtId="166" formatCode="#,##0.0"/>
    <numFmt numFmtId="167" formatCode="#,##0.00_ ;\-#,##0.00\ "/>
    <numFmt numFmtId="168" formatCode="#,##0\ &quot;€&quot;"/>
    <numFmt numFmtId="169" formatCode="dd/mm/yy;@"/>
    <numFmt numFmtId="170" formatCode="dd\.mm\.yy;@"/>
    <numFmt numFmtId="171" formatCode="[$-F400]h:mm:ss\ AM/PM"/>
    <numFmt numFmtId="172" formatCode="000"/>
    <numFmt numFmtId="173" formatCode="#,##0_ ;\-#,##0\ "/>
    <numFmt numFmtId="174" formatCode="##\ &quot;min&quot;"/>
    <numFmt numFmtId="175" formatCode="0\ &quot;min&quot;"/>
  </numFmts>
  <fonts count="73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 Narrow"/>
      <family val="2"/>
    </font>
    <font>
      <i/>
      <sz val="11"/>
      <name val="Arial"/>
      <family val="2"/>
    </font>
    <font>
      <sz val="11"/>
      <color indexed="9"/>
      <name val="Arial"/>
      <family val="2"/>
    </font>
    <font>
      <sz val="10"/>
      <name val="Cheltenham"/>
    </font>
    <font>
      <b/>
      <sz val="11"/>
      <color indexed="9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9"/>
      <name val="Arial Narrow"/>
      <family val="2"/>
    </font>
    <font>
      <b/>
      <sz val="12"/>
      <name val="Arial"/>
      <family val="2"/>
    </font>
    <font>
      <sz val="12"/>
      <name val="Arial Narrow"/>
      <family val="2"/>
    </font>
    <font>
      <b/>
      <sz val="14"/>
      <name val="Arial"/>
      <family val="2"/>
    </font>
    <font>
      <sz val="10"/>
      <color indexed="55"/>
      <name val="Arial"/>
      <family val="2"/>
    </font>
    <font>
      <sz val="11"/>
      <color indexed="55"/>
      <name val="Arial"/>
      <family val="2"/>
    </font>
    <font>
      <b/>
      <sz val="12"/>
      <color indexed="55"/>
      <name val="Arial"/>
      <family val="2"/>
    </font>
    <font>
      <sz val="12"/>
      <color indexed="55"/>
      <name val="Arial"/>
      <family val="2"/>
    </font>
    <font>
      <sz val="14"/>
      <name val="Arial"/>
      <family val="2"/>
    </font>
    <font>
      <sz val="9"/>
      <color indexed="23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Arial Narrow"/>
      <family val="2"/>
    </font>
    <font>
      <sz val="8"/>
      <color rgb="FF000000"/>
      <name val="Arial Narrow"/>
      <family val="2"/>
    </font>
    <font>
      <sz val="8"/>
      <name val="Arial Narrow"/>
      <family val="2"/>
    </font>
    <font>
      <b/>
      <sz val="14"/>
      <color indexed="9"/>
      <name val="Arial"/>
      <family val="2"/>
    </font>
    <font>
      <b/>
      <sz val="14"/>
      <color theme="1"/>
      <name val="Arial Narrow"/>
      <family val="2"/>
    </font>
    <font>
      <sz val="50"/>
      <name val="Code 128"/>
      <charset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10"/>
      <name val="Arial Narrow"/>
      <family val="2"/>
    </font>
    <font>
      <sz val="48"/>
      <name val="Code 128"/>
      <charset val="2"/>
    </font>
    <font>
      <sz val="60"/>
      <name val="Code 128"/>
      <charset val="2"/>
    </font>
    <font>
      <sz val="14"/>
      <name val="Arial Narrow"/>
      <family val="2"/>
    </font>
    <font>
      <i/>
      <sz val="14"/>
      <name val="Arial"/>
      <family val="2"/>
    </font>
    <font>
      <i/>
      <sz val="14"/>
      <name val="Arial Narrow"/>
      <family val="2"/>
    </font>
    <font>
      <b/>
      <sz val="18"/>
      <name val="Arial"/>
      <family val="2"/>
    </font>
    <font>
      <sz val="10"/>
      <color theme="0" tint="-0.499984740745262"/>
      <name val="Arial"/>
      <family val="2"/>
    </font>
    <font>
      <i/>
      <sz val="8"/>
      <name val="Arial"/>
      <family val="2"/>
    </font>
    <font>
      <b/>
      <sz val="24"/>
      <name val="Arial Narrow"/>
      <family val="2"/>
    </font>
    <font>
      <b/>
      <sz val="36"/>
      <name val="Arial"/>
      <family val="2"/>
    </font>
    <font>
      <b/>
      <sz val="11"/>
      <color rgb="FF0070C0"/>
      <name val="Arial"/>
      <family val="2"/>
    </font>
    <font>
      <sz val="8"/>
      <color theme="1" tint="0.499984740745262"/>
      <name val="Arial"/>
      <family val="2"/>
    </font>
    <font>
      <b/>
      <sz val="8"/>
      <color indexed="9"/>
      <name val="Arial"/>
      <family val="2"/>
    </font>
    <font>
      <i/>
      <sz val="11"/>
      <name val="Arial Narrow"/>
      <family val="2"/>
    </font>
    <font>
      <sz val="14"/>
      <color theme="0" tint="-0.249977111117893"/>
      <name val="Arial"/>
      <family val="2"/>
    </font>
    <font>
      <sz val="8"/>
      <color theme="0" tint="-0.499984740745262"/>
      <name val="Arial"/>
      <family val="2"/>
    </font>
    <font>
      <sz val="8"/>
      <color theme="0" tint="-0.249977111117893"/>
      <name val="Arial"/>
      <family val="2"/>
    </font>
    <font>
      <b/>
      <sz val="8"/>
      <name val="Arial"/>
      <family val="2"/>
    </font>
    <font>
      <sz val="8"/>
      <color theme="0"/>
      <name val="Arial"/>
      <family val="2"/>
    </font>
    <font>
      <sz val="11"/>
      <color rgb="FFFF0000"/>
      <name val="Arial"/>
      <family val="2"/>
    </font>
    <font>
      <b/>
      <sz val="12"/>
      <color rgb="FF0070C0"/>
      <name val="Arial"/>
      <family val="2"/>
    </font>
    <font>
      <b/>
      <sz val="18"/>
      <color theme="0" tint="-0.499984740745262"/>
      <name val="Arial"/>
      <family val="2"/>
    </font>
    <font>
      <sz val="11"/>
      <color theme="0" tint="-0.499984740745262"/>
      <name val="Arial"/>
      <family val="2"/>
    </font>
    <font>
      <b/>
      <sz val="11"/>
      <color theme="0" tint="-0.499984740745262"/>
      <name val="Arial Narrow"/>
      <family val="2"/>
    </font>
    <font>
      <i/>
      <sz val="10"/>
      <name val="Arial"/>
      <family val="2"/>
    </font>
    <font>
      <sz val="26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53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 diagonalDown="1">
      <left/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</borders>
  <cellStyleXfs count="4">
    <xf numFmtId="0" fontId="0" fillId="0" borderId="0"/>
    <xf numFmtId="0" fontId="19" fillId="0" borderId="0"/>
    <xf numFmtId="0" fontId="6" fillId="0" borderId="0"/>
    <xf numFmtId="44" fontId="43" fillId="0" borderId="0" applyFont="0" applyFill="0" applyBorder="0" applyAlignment="0" applyProtection="0"/>
  </cellStyleXfs>
  <cellXfs count="590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3" fillId="0" borderId="1" xfId="0" applyFont="1" applyBorder="1"/>
    <xf numFmtId="0" fontId="3" fillId="0" borderId="0" xfId="0" applyFont="1" applyBorder="1"/>
    <xf numFmtId="2" fontId="3" fillId="0" borderId="0" xfId="0" applyNumberFormat="1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2" fontId="4" fillId="0" borderId="0" xfId="0" applyNumberFormat="1" applyFont="1" applyBorder="1"/>
    <xf numFmtId="2" fontId="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8" xfId="0" applyFont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12" xfId="0" applyFont="1" applyBorder="1"/>
    <xf numFmtId="0" fontId="3" fillId="0" borderId="5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9" fontId="3" fillId="0" borderId="0" xfId="0" applyNumberFormat="1" applyFont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4" fontId="4" fillId="0" borderId="0" xfId="0" applyNumberFormat="1" applyFont="1" applyBorder="1" applyAlignment="1">
      <alignment horizontal="center"/>
    </xf>
    <xf numFmtId="4" fontId="3" fillId="0" borderId="0" xfId="0" applyNumberFormat="1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165" fontId="4" fillId="0" borderId="0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 wrapText="1"/>
    </xf>
    <xf numFmtId="2" fontId="11" fillId="0" borderId="0" xfId="0" applyNumberFormat="1" applyFont="1" applyFill="1" applyBorder="1" applyAlignment="1">
      <alignment horizontal="center"/>
    </xf>
    <xf numFmtId="0" fontId="11" fillId="0" borderId="12" xfId="0" applyFont="1" applyBorder="1"/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165" fontId="4" fillId="2" borderId="0" xfId="0" applyNumberFormat="1" applyFont="1" applyFill="1" applyBorder="1" applyAlignment="1">
      <alignment horizontal="center"/>
    </xf>
    <xf numFmtId="165" fontId="4" fillId="4" borderId="0" xfId="0" applyNumberFormat="1" applyFont="1" applyFill="1" applyBorder="1" applyAlignment="1">
      <alignment horizontal="center"/>
    </xf>
    <xf numFmtId="165" fontId="4" fillId="5" borderId="0" xfId="0" applyNumberFormat="1" applyFont="1" applyFill="1" applyBorder="1" applyAlignment="1">
      <alignment horizontal="center"/>
    </xf>
    <xf numFmtId="165" fontId="4" fillId="6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11" fillId="0" borderId="0" xfId="0" applyFont="1" applyBorder="1"/>
    <xf numFmtId="4" fontId="11" fillId="0" borderId="0" xfId="0" applyNumberFormat="1" applyFont="1" applyBorder="1" applyAlignment="1">
      <alignment horizontal="center"/>
    </xf>
    <xf numFmtId="0" fontId="11" fillId="0" borderId="8" xfId="0" applyFont="1" applyBorder="1" applyAlignment="1">
      <alignment horizontal="left"/>
    </xf>
    <xf numFmtId="0" fontId="11" fillId="0" borderId="1" xfId="0" applyFont="1" applyBorder="1"/>
    <xf numFmtId="0" fontId="11" fillId="0" borderId="7" xfId="0" applyFont="1" applyBorder="1" applyAlignment="1">
      <alignment horizontal="left"/>
    </xf>
    <xf numFmtId="0" fontId="12" fillId="0" borderId="0" xfId="0" applyFont="1" applyFill="1" applyBorder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7" borderId="0" xfId="0" applyFont="1" applyFill="1"/>
    <xf numFmtId="0" fontId="14" fillId="0" borderId="0" xfId="0" applyFont="1" applyFill="1" applyBorder="1"/>
    <xf numFmtId="0" fontId="14" fillId="0" borderId="0" xfId="0" applyFont="1"/>
    <xf numFmtId="0" fontId="14" fillId="0" borderId="0" xfId="0" applyFont="1" applyFill="1" applyBorder="1" applyAlignment="1" applyProtection="1">
      <alignment horizontal="center"/>
      <protection locked="0"/>
    </xf>
    <xf numFmtId="0" fontId="14" fillId="0" borderId="0" xfId="0" applyFont="1" applyBorder="1"/>
    <xf numFmtId="0" fontId="14" fillId="0" borderId="0" xfId="0" applyFont="1" applyAlignment="1">
      <alignment vertical="center"/>
    </xf>
    <xf numFmtId="0" fontId="14" fillId="0" borderId="0" xfId="0" applyFont="1" applyBorder="1" applyAlignment="1">
      <alignment vertical="center"/>
    </xf>
    <xf numFmtId="1" fontId="14" fillId="0" borderId="0" xfId="0" applyNumberFormat="1" applyFont="1" applyFill="1" applyBorder="1" applyAlignment="1">
      <alignment horizontal="center"/>
    </xf>
    <xf numFmtId="165" fontId="14" fillId="0" borderId="0" xfId="0" applyNumberFormat="1" applyFont="1" applyFill="1" applyBorder="1" applyAlignment="1"/>
    <xf numFmtId="0" fontId="14" fillId="0" borderId="0" xfId="0" applyFont="1" applyBorder="1" applyAlignment="1">
      <alignment horizontal="center"/>
    </xf>
    <xf numFmtId="1" fontId="14" fillId="0" borderId="0" xfId="0" applyNumberFormat="1" applyFont="1" applyAlignment="1">
      <alignment horizontal="center"/>
    </xf>
    <xf numFmtId="44" fontId="14" fillId="0" borderId="0" xfId="0" applyNumberFormat="1" applyFont="1" applyBorder="1"/>
    <xf numFmtId="0" fontId="14" fillId="0" borderId="0" xfId="0" applyFont="1" applyBorder="1" applyAlignment="1">
      <alignment horizontal="left"/>
    </xf>
    <xf numFmtId="165" fontId="14" fillId="0" borderId="0" xfId="0" applyNumberFormat="1" applyFont="1" applyBorder="1"/>
    <xf numFmtId="165" fontId="14" fillId="0" borderId="0" xfId="0" applyNumberFormat="1" applyFont="1"/>
    <xf numFmtId="0" fontId="21" fillId="0" borderId="0" xfId="0" applyFont="1" applyBorder="1"/>
    <xf numFmtId="9" fontId="21" fillId="0" borderId="0" xfId="0" applyNumberFormat="1" applyFont="1" applyBorder="1"/>
    <xf numFmtId="165" fontId="21" fillId="0" borderId="0" xfId="0" applyNumberFormat="1" applyFont="1" applyBorder="1"/>
    <xf numFmtId="1" fontId="14" fillId="0" borderId="0" xfId="0" applyNumberFormat="1" applyFont="1" applyBorder="1" applyAlignment="1">
      <alignment horizontal="center"/>
    </xf>
    <xf numFmtId="0" fontId="20" fillId="0" borderId="0" xfId="0" applyFont="1" applyFill="1" applyBorder="1"/>
    <xf numFmtId="0" fontId="14" fillId="0" borderId="0" xfId="0" applyFont="1" applyAlignment="1">
      <alignment horizontal="left"/>
    </xf>
    <xf numFmtId="0" fontId="20" fillId="5" borderId="30" xfId="0" applyFont="1" applyFill="1" applyBorder="1"/>
    <xf numFmtId="0" fontId="20" fillId="5" borderId="23" xfId="0" applyFont="1" applyFill="1" applyBorder="1"/>
    <xf numFmtId="0" fontId="20" fillId="8" borderId="11" xfId="0" applyFont="1" applyFill="1" applyBorder="1" applyAlignment="1">
      <alignment vertical="center"/>
    </xf>
    <xf numFmtId="2" fontId="4" fillId="9" borderId="8" xfId="0" applyNumberFormat="1" applyFont="1" applyFill="1" applyBorder="1" applyAlignment="1">
      <alignment horizontal="center"/>
    </xf>
    <xf numFmtId="2" fontId="4" fillId="9" borderId="0" xfId="0" applyNumberFormat="1" applyFont="1" applyFill="1" applyBorder="1" applyAlignment="1">
      <alignment horizontal="center"/>
    </xf>
    <xf numFmtId="165" fontId="10" fillId="9" borderId="16" xfId="0" applyNumberFormat="1" applyFont="1" applyFill="1" applyBorder="1" applyAlignment="1">
      <alignment horizontal="center" wrapText="1"/>
    </xf>
    <xf numFmtId="165" fontId="10" fillId="9" borderId="18" xfId="0" applyNumberFormat="1" applyFont="1" applyFill="1" applyBorder="1" applyAlignment="1">
      <alignment horizontal="center" wrapText="1"/>
    </xf>
    <xf numFmtId="166" fontId="10" fillId="9" borderId="16" xfId="0" applyNumberFormat="1" applyFont="1" applyFill="1" applyBorder="1" applyAlignment="1">
      <alignment horizontal="center" wrapText="1"/>
    </xf>
    <xf numFmtId="166" fontId="23" fillId="9" borderId="17" xfId="0" applyNumberFormat="1" applyFont="1" applyFill="1" applyBorder="1" applyAlignment="1">
      <alignment horizontal="center" wrapText="1"/>
    </xf>
    <xf numFmtId="0" fontId="20" fillId="5" borderId="29" xfId="0" applyFont="1" applyFill="1" applyBorder="1"/>
    <xf numFmtId="44" fontId="21" fillId="0" borderId="0" xfId="0" applyNumberFormat="1" applyFont="1" applyBorder="1"/>
    <xf numFmtId="0" fontId="1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165" fontId="12" fillId="0" borderId="0" xfId="0" applyNumberFormat="1" applyFont="1" applyBorder="1" applyAlignment="1">
      <alignment horizontal="right"/>
    </xf>
    <xf numFmtId="44" fontId="2" fillId="0" borderId="0" xfId="0" applyNumberFormat="1" applyFont="1" applyBorder="1" applyAlignment="1">
      <alignment horizontal="right"/>
    </xf>
    <xf numFmtId="44" fontId="12" fillId="0" borderId="0" xfId="0" applyNumberFormat="1" applyFont="1" applyBorder="1"/>
    <xf numFmtId="165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0" xfId="0" applyFont="1"/>
    <xf numFmtId="9" fontId="12" fillId="0" borderId="0" xfId="0" applyNumberFormat="1" applyFont="1" applyBorder="1"/>
    <xf numFmtId="42" fontId="12" fillId="0" borderId="0" xfId="0" applyNumberFormat="1" applyFont="1" applyFill="1" applyBorder="1" applyAlignment="1">
      <alignment horizontal="right"/>
    </xf>
    <xf numFmtId="1" fontId="12" fillId="0" borderId="0" xfId="0" applyNumberFormat="1" applyFont="1" applyFill="1" applyBorder="1" applyAlignment="1">
      <alignment horizontal="right"/>
    </xf>
    <xf numFmtId="165" fontId="12" fillId="0" borderId="0" xfId="0" applyNumberFormat="1" applyFont="1" applyFill="1" applyBorder="1" applyAlignment="1">
      <alignment horizontal="right"/>
    </xf>
    <xf numFmtId="0" fontId="24" fillId="0" borderId="0" xfId="0" applyFont="1" applyBorder="1" applyAlignment="1">
      <alignment horizontal="left"/>
    </xf>
    <xf numFmtId="44" fontId="12" fillId="0" borderId="0" xfId="0" applyNumberFormat="1" applyFont="1" applyBorder="1" applyAlignment="1">
      <alignment horizontal="right"/>
    </xf>
    <xf numFmtId="0" fontId="24" fillId="0" borderId="0" xfId="0" applyFont="1" applyFill="1" applyBorder="1" applyAlignment="1"/>
    <xf numFmtId="0" fontId="24" fillId="0" borderId="0" xfId="0" applyFont="1" applyFill="1" applyBorder="1" applyAlignment="1">
      <alignment horizontal="right"/>
    </xf>
    <xf numFmtId="44" fontId="12" fillId="0" borderId="0" xfId="0" applyNumberFormat="1" applyFont="1" applyFill="1" applyBorder="1"/>
    <xf numFmtId="165" fontId="12" fillId="0" borderId="0" xfId="0" applyNumberFormat="1" applyFont="1" applyFill="1" applyBorder="1" applyAlignment="1">
      <alignment horizontal="center"/>
    </xf>
    <xf numFmtId="0" fontId="24" fillId="0" borderId="0" xfId="0" applyFont="1" applyBorder="1"/>
    <xf numFmtId="9" fontId="24" fillId="0" borderId="0" xfId="0" applyNumberFormat="1" applyFont="1" applyBorder="1"/>
    <xf numFmtId="0" fontId="12" fillId="0" borderId="0" xfId="0" applyFont="1" applyFill="1" applyBorder="1" applyAlignment="1">
      <alignment horizontal="left"/>
    </xf>
    <xf numFmtId="0" fontId="12" fillId="0" borderId="34" xfId="0" applyFont="1" applyFill="1" applyBorder="1" applyAlignment="1">
      <alignment horizontal="left"/>
    </xf>
    <xf numFmtId="42" fontId="12" fillId="0" borderId="34" xfId="0" applyNumberFormat="1" applyFont="1" applyFill="1" applyBorder="1" applyAlignment="1">
      <alignment horizontal="right"/>
    </xf>
    <xf numFmtId="44" fontId="12" fillId="0" borderId="0" xfId="0" applyNumberFormat="1" applyFont="1" applyFill="1" applyBorder="1" applyAlignment="1"/>
    <xf numFmtId="0" fontId="12" fillId="0" borderId="0" xfId="0" applyFont="1" applyFill="1" applyBorder="1"/>
    <xf numFmtId="42" fontId="24" fillId="0" borderId="0" xfId="0" applyNumberFormat="1" applyFont="1" applyFill="1" applyBorder="1" applyAlignment="1">
      <alignment horizontal="right"/>
    </xf>
    <xf numFmtId="0" fontId="12" fillId="0" borderId="24" xfId="0" applyFont="1" applyFill="1" applyBorder="1" applyAlignment="1">
      <alignment horizontal="left"/>
    </xf>
    <xf numFmtId="9" fontId="12" fillId="0" borderId="24" xfId="0" applyNumberFormat="1" applyFont="1" applyFill="1" applyBorder="1" applyAlignment="1">
      <alignment horizontal="right"/>
    </xf>
    <xf numFmtId="44" fontId="12" fillId="0" borderId="0" xfId="0" applyNumberFormat="1" applyFont="1" applyFill="1" applyBorder="1" applyAlignment="1">
      <alignment horizontal="right"/>
    </xf>
    <xf numFmtId="0" fontId="26" fillId="0" borderId="34" xfId="0" applyFont="1" applyFill="1" applyBorder="1" applyAlignment="1">
      <alignment horizontal="left"/>
    </xf>
    <xf numFmtId="0" fontId="26" fillId="0" borderId="34" xfId="0" applyFont="1" applyFill="1" applyBorder="1" applyAlignment="1">
      <alignment horizontal="right"/>
    </xf>
    <xf numFmtId="42" fontId="26" fillId="0" borderId="34" xfId="0" applyNumberFormat="1" applyFont="1" applyFill="1" applyBorder="1" applyAlignment="1">
      <alignment horizontal="right"/>
    </xf>
    <xf numFmtId="0" fontId="3" fillId="0" borderId="24" xfId="0" applyFont="1" applyFill="1" applyBorder="1" applyAlignment="1">
      <alignment horizontal="left" vertical="center" wrapText="1"/>
    </xf>
    <xf numFmtId="165" fontId="12" fillId="0" borderId="24" xfId="0" applyNumberFormat="1" applyFont="1" applyBorder="1" applyAlignment="1">
      <alignment horizontal="right"/>
    </xf>
    <xf numFmtId="42" fontId="12" fillId="0" borderId="24" xfId="0" applyNumberFormat="1" applyFont="1" applyFill="1" applyBorder="1" applyAlignment="1">
      <alignment horizontal="right"/>
    </xf>
    <xf numFmtId="0" fontId="25" fillId="0" borderId="24" xfId="0" applyFont="1" applyFill="1" applyBorder="1" applyAlignment="1">
      <alignment horizontal="left" vertical="center" wrapText="1"/>
    </xf>
    <xf numFmtId="165" fontId="12" fillId="0" borderId="24" xfId="0" applyNumberFormat="1" applyFont="1" applyFill="1" applyBorder="1" applyAlignment="1">
      <alignment horizontal="right"/>
    </xf>
    <xf numFmtId="0" fontId="27" fillId="0" borderId="0" xfId="0" applyFont="1" applyBorder="1"/>
    <xf numFmtId="0" fontId="28" fillId="0" borderId="0" xfId="0" applyFont="1" applyFill="1" applyBorder="1" applyAlignment="1">
      <alignment horizontal="left"/>
    </xf>
    <xf numFmtId="44" fontId="29" fillId="0" borderId="0" xfId="0" applyNumberFormat="1" applyFont="1" applyBorder="1" applyAlignment="1">
      <alignment horizontal="right"/>
    </xf>
    <xf numFmtId="42" fontId="30" fillId="0" borderId="24" xfId="0" applyNumberFormat="1" applyFont="1" applyFill="1" applyBorder="1" applyAlignment="1">
      <alignment horizontal="right"/>
    </xf>
    <xf numFmtId="1" fontId="30" fillId="0" borderId="24" xfId="0" applyNumberFormat="1" applyFont="1" applyFill="1" applyBorder="1" applyAlignment="1">
      <alignment horizontal="right"/>
    </xf>
    <xf numFmtId="44" fontId="30" fillId="0" borderId="24" xfId="0" applyNumberFormat="1" applyFont="1" applyBorder="1" applyAlignment="1">
      <alignment horizontal="right"/>
    </xf>
    <xf numFmtId="44" fontId="30" fillId="0" borderId="0" xfId="0" applyNumberFormat="1" applyFont="1" applyBorder="1" applyAlignment="1">
      <alignment horizontal="right"/>
    </xf>
    <xf numFmtId="44" fontId="30" fillId="0" borderId="0" xfId="0" applyNumberFormat="1" applyFont="1" applyFill="1" applyBorder="1" applyAlignment="1">
      <alignment horizontal="right"/>
    </xf>
    <xf numFmtId="44" fontId="30" fillId="0" borderId="24" xfId="0" applyNumberFormat="1" applyFont="1" applyFill="1" applyBorder="1" applyAlignment="1">
      <alignment horizontal="right"/>
    </xf>
    <xf numFmtId="42" fontId="30" fillId="0" borderId="34" xfId="0" applyNumberFormat="1" applyFont="1" applyFill="1" applyBorder="1" applyAlignment="1">
      <alignment horizontal="right"/>
    </xf>
    <xf numFmtId="42" fontId="30" fillId="0" borderId="0" xfId="0" applyNumberFormat="1" applyFont="1" applyFill="1" applyBorder="1" applyAlignment="1">
      <alignment horizontal="right"/>
    </xf>
    <xf numFmtId="0" fontId="27" fillId="0" borderId="0" xfId="0" applyFont="1"/>
    <xf numFmtId="0" fontId="17" fillId="0" borderId="24" xfId="0" applyFont="1" applyFill="1" applyBorder="1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30" fillId="0" borderId="0" xfId="0" applyFont="1" applyBorder="1" applyAlignment="1">
      <alignment horizontal="right"/>
    </xf>
    <xf numFmtId="0" fontId="30" fillId="0" borderId="24" xfId="0" applyFont="1" applyFill="1" applyBorder="1" applyAlignment="1">
      <alignment horizontal="left"/>
    </xf>
    <xf numFmtId="9" fontId="30" fillId="0" borderId="24" xfId="0" applyNumberFormat="1" applyFont="1" applyFill="1" applyBorder="1" applyAlignment="1">
      <alignment horizontal="right"/>
    </xf>
    <xf numFmtId="0" fontId="30" fillId="0" borderId="24" xfId="0" applyFont="1" applyBorder="1" applyAlignment="1">
      <alignment horizontal="right"/>
    </xf>
    <xf numFmtId="0" fontId="30" fillId="0" borderId="24" xfId="0" applyFont="1" applyFill="1" applyBorder="1" applyAlignment="1">
      <alignment horizontal="right"/>
    </xf>
    <xf numFmtId="0" fontId="8" fillId="0" borderId="0" xfId="0" applyFont="1" applyBorder="1"/>
    <xf numFmtId="0" fontId="15" fillId="0" borderId="0" xfId="0" applyFont="1" applyBorder="1"/>
    <xf numFmtId="0" fontId="20" fillId="7" borderId="0" xfId="0" applyFont="1" applyFill="1" applyBorder="1"/>
    <xf numFmtId="0" fontId="14" fillId="7" borderId="0" xfId="0" applyFont="1" applyFill="1" applyBorder="1" applyAlignment="1" applyProtection="1">
      <alignment horizontal="right"/>
      <protection locked="0"/>
    </xf>
    <xf numFmtId="0" fontId="32" fillId="9" borderId="16" xfId="0" applyFont="1" applyFill="1" applyBorder="1" applyAlignment="1">
      <alignment horizontal="center" wrapText="1"/>
    </xf>
    <xf numFmtId="0" fontId="32" fillId="9" borderId="17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7" fontId="3" fillId="0" borderId="0" xfId="0" applyNumberFormat="1" applyFont="1" applyFill="1" applyBorder="1" applyAlignment="1">
      <alignment horizontal="right"/>
    </xf>
    <xf numFmtId="0" fontId="15" fillId="9" borderId="0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5" fillId="9" borderId="0" xfId="0" applyFont="1" applyFill="1" applyAlignment="1">
      <alignment vertical="center"/>
    </xf>
    <xf numFmtId="0" fontId="1" fillId="9" borderId="0" xfId="0" applyFont="1" applyFill="1" applyBorder="1" applyAlignment="1">
      <alignment vertical="center"/>
    </xf>
    <xf numFmtId="0" fontId="0" fillId="0" borderId="0" xfId="0" applyFont="1"/>
    <xf numFmtId="0" fontId="33" fillId="0" borderId="0" xfId="0" applyFont="1" applyAlignment="1">
      <alignment horizontal="center"/>
    </xf>
    <xf numFmtId="0" fontId="33" fillId="0" borderId="17" xfId="0" applyFont="1" applyBorder="1" applyAlignment="1">
      <alignment horizontal="center"/>
    </xf>
    <xf numFmtId="0" fontId="0" fillId="0" borderId="24" xfId="0" applyBorder="1"/>
    <xf numFmtId="0" fontId="35" fillId="10" borderId="28" xfId="0" applyFont="1" applyFill="1" applyBorder="1"/>
    <xf numFmtId="0" fontId="35" fillId="10" borderId="31" xfId="0" applyFon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33" fillId="0" borderId="0" xfId="0" applyFont="1"/>
    <xf numFmtId="0" fontId="0" fillId="0" borderId="25" xfId="0" applyBorder="1"/>
    <xf numFmtId="0" fontId="36" fillId="0" borderId="2" xfId="0" applyFont="1" applyBorder="1"/>
    <xf numFmtId="170" fontId="37" fillId="4" borderId="0" xfId="0" applyNumberFormat="1" applyFont="1" applyFill="1" applyAlignment="1">
      <alignment horizontal="left"/>
    </xf>
    <xf numFmtId="49" fontId="38" fillId="4" borderId="0" xfId="0" applyNumberFormat="1" applyFont="1" applyFill="1" applyAlignment="1" applyProtection="1">
      <alignment horizontal="left"/>
    </xf>
    <xf numFmtId="0" fontId="37" fillId="4" borderId="0" xfId="0" applyFont="1" applyFill="1" applyAlignment="1">
      <alignment horizontal="left"/>
    </xf>
    <xf numFmtId="170" fontId="37" fillId="4" borderId="0" xfId="0" applyNumberFormat="1" applyFont="1" applyFill="1" applyAlignment="1">
      <alignment horizontal="left" wrapText="1"/>
    </xf>
    <xf numFmtId="49" fontId="37" fillId="4" borderId="0" xfId="0" applyNumberFormat="1" applyFont="1" applyFill="1" applyAlignment="1">
      <alignment horizontal="left" wrapText="1"/>
    </xf>
    <xf numFmtId="170" fontId="38" fillId="4" borderId="0" xfId="0" applyNumberFormat="1" applyFont="1" applyFill="1" applyAlignment="1">
      <alignment horizontal="left" wrapText="1"/>
    </xf>
    <xf numFmtId="171" fontId="38" fillId="4" borderId="0" xfId="0" applyNumberFormat="1" applyFont="1" applyFill="1" applyAlignment="1">
      <alignment horizontal="left" wrapText="1"/>
    </xf>
    <xf numFmtId="170" fontId="39" fillId="0" borderId="0" xfId="0" applyNumberFormat="1" applyFont="1" applyFill="1" applyAlignment="1">
      <alignment horizontal="left"/>
    </xf>
    <xf numFmtId="49" fontId="39" fillId="0" borderId="0" xfId="0" applyNumberFormat="1" applyFont="1" applyFill="1" applyAlignment="1" applyProtection="1">
      <alignment horizontal="left"/>
    </xf>
    <xf numFmtId="0" fontId="39" fillId="0" borderId="0" xfId="0" applyFont="1" applyFill="1" applyAlignment="1">
      <alignment horizontal="left"/>
    </xf>
    <xf numFmtId="49" fontId="39" fillId="0" borderId="0" xfId="0" applyNumberFormat="1" applyFont="1" applyFill="1" applyAlignment="1">
      <alignment horizontal="left"/>
    </xf>
    <xf numFmtId="169" fontId="39" fillId="0" borderId="0" xfId="0" applyNumberFormat="1" applyFont="1" applyFill="1" applyAlignment="1">
      <alignment horizontal="left"/>
    </xf>
    <xf numFmtId="0" fontId="14" fillId="7" borderId="0" xfId="0" applyFont="1" applyFill="1" applyAlignment="1">
      <alignment horizontal="left"/>
    </xf>
    <xf numFmtId="0" fontId="9" fillId="8" borderId="6" xfId="0" applyFont="1" applyFill="1" applyBorder="1" applyAlignment="1">
      <alignment vertical="center"/>
    </xf>
    <xf numFmtId="0" fontId="6" fillId="0" borderId="24" xfId="0" applyFont="1" applyBorder="1"/>
    <xf numFmtId="0" fontId="3" fillId="0" borderId="0" xfId="0" applyFont="1" applyFill="1" applyBorder="1" applyAlignment="1">
      <alignment horizontal="left"/>
    </xf>
    <xf numFmtId="0" fontId="6" fillId="0" borderId="0" xfId="0" applyFont="1"/>
    <xf numFmtId="0" fontId="22" fillId="0" borderId="0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166" fontId="4" fillId="6" borderId="0" xfId="0" applyNumberFormat="1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6" fontId="4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8" fillId="11" borderId="0" xfId="0" applyFont="1" applyFill="1" applyBorder="1" applyAlignment="1">
      <alignment horizontal="center"/>
    </xf>
    <xf numFmtId="0" fontId="8" fillId="11" borderId="0" xfId="0" applyFont="1" applyFill="1" applyAlignment="1">
      <alignment horizontal="center"/>
    </xf>
    <xf numFmtId="0" fontId="8" fillId="11" borderId="0" xfId="0" applyFont="1" applyFill="1"/>
    <xf numFmtId="0" fontId="6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9" fillId="8" borderId="13" xfId="0" applyFont="1" applyFill="1" applyBorder="1" applyAlignment="1">
      <alignment vertical="center"/>
    </xf>
    <xf numFmtId="0" fontId="45" fillId="0" borderId="0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applyFont="1" applyBorder="1" applyAlignment="1">
      <alignment horizontal="center"/>
    </xf>
    <xf numFmtId="4" fontId="3" fillId="0" borderId="36" xfId="0" applyNumberFormat="1" applyFont="1" applyBorder="1" applyAlignment="1">
      <alignment horizontal="center"/>
    </xf>
    <xf numFmtId="2" fontId="11" fillId="0" borderId="36" xfId="0" applyNumberFormat="1" applyFont="1" applyBorder="1" applyAlignment="1">
      <alignment horizontal="center"/>
    </xf>
    <xf numFmtId="0" fontId="0" fillId="0" borderId="36" xfId="0" applyBorder="1"/>
    <xf numFmtId="0" fontId="11" fillId="0" borderId="36" xfId="0" applyFont="1" applyBorder="1"/>
    <xf numFmtId="0" fontId="1" fillId="13" borderId="0" xfId="0" applyFont="1" applyFill="1" applyBorder="1" applyAlignment="1">
      <alignment horizontal="left"/>
    </xf>
    <xf numFmtId="0" fontId="11" fillId="13" borderId="0" xfId="0" applyFont="1" applyFill="1" applyBorder="1"/>
    <xf numFmtId="0" fontId="0" fillId="13" borderId="0" xfId="0" applyFill="1" applyBorder="1" applyAlignment="1">
      <alignment horizontal="center"/>
    </xf>
    <xf numFmtId="0" fontId="3" fillId="13" borderId="0" xfId="0" applyFont="1" applyFill="1" applyBorder="1" applyAlignment="1">
      <alignment horizontal="center"/>
    </xf>
    <xf numFmtId="0" fontId="0" fillId="13" borderId="0" xfId="0" applyFill="1" applyBorder="1"/>
    <xf numFmtId="2" fontId="0" fillId="13" borderId="0" xfId="0" applyNumberFormat="1" applyFill="1" applyBorder="1" applyAlignment="1">
      <alignment horizontal="center"/>
    </xf>
    <xf numFmtId="0" fontId="46" fillId="13" borderId="36" xfId="0" applyFont="1" applyFill="1" applyBorder="1" applyAlignment="1">
      <alignment horizontal="left" vertical="center"/>
    </xf>
    <xf numFmtId="0" fontId="46" fillId="13" borderId="0" xfId="0" applyFont="1" applyFill="1" applyBorder="1" applyAlignment="1">
      <alignment horizontal="left" vertical="center"/>
    </xf>
    <xf numFmtId="2" fontId="3" fillId="0" borderId="36" xfId="0" applyNumberFormat="1" applyFont="1" applyBorder="1" applyAlignment="1">
      <alignment horizontal="center"/>
    </xf>
    <xf numFmtId="2" fontId="3" fillId="13" borderId="36" xfId="0" applyNumberFormat="1" applyFont="1" applyFill="1" applyBorder="1" applyAlignment="1">
      <alignment horizontal="center"/>
    </xf>
    <xf numFmtId="0" fontId="6" fillId="13" borderId="0" xfId="0" applyFont="1" applyFill="1" applyBorder="1" applyAlignment="1">
      <alignment horizontal="center"/>
    </xf>
    <xf numFmtId="0" fontId="6" fillId="0" borderId="36" xfId="0" applyFont="1" applyBorder="1"/>
    <xf numFmtId="0" fontId="6" fillId="0" borderId="0" xfId="0" applyFont="1" applyFill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36" xfId="0" applyFont="1" applyBorder="1"/>
    <xf numFmtId="0" fontId="4" fillId="0" borderId="0" xfId="0" applyFont="1"/>
    <xf numFmtId="2" fontId="0" fillId="0" borderId="0" xfId="0" applyNumberFormat="1" applyBorder="1"/>
    <xf numFmtId="1" fontId="3" fillId="0" borderId="0" xfId="0" applyNumberFormat="1" applyFont="1" applyBorder="1" applyAlignment="1">
      <alignment horizontal="center"/>
    </xf>
    <xf numFmtId="0" fontId="46" fillId="6" borderId="0" xfId="0" applyFont="1" applyFill="1" applyBorder="1" applyAlignment="1">
      <alignment horizontal="center"/>
    </xf>
    <xf numFmtId="0" fontId="1" fillId="12" borderId="19" xfId="0" applyFont="1" applyFill="1" applyBorder="1" applyAlignment="1">
      <alignment horizontal="center"/>
    </xf>
    <xf numFmtId="2" fontId="6" fillId="12" borderId="19" xfId="0" applyNumberFormat="1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4" fillId="0" borderId="19" xfId="0" applyFon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3" fillId="0" borderId="19" xfId="0" applyFont="1" applyBorder="1" applyAlignment="1">
      <alignment horizontal="left"/>
    </xf>
    <xf numFmtId="0" fontId="5" fillId="0" borderId="19" xfId="0" applyFont="1" applyBorder="1" applyAlignment="1">
      <alignment horizontal="left"/>
    </xf>
    <xf numFmtId="165" fontId="4" fillId="3" borderId="19" xfId="0" applyNumberFormat="1" applyFont="1" applyFill="1" applyBorder="1" applyAlignment="1">
      <alignment horizontal="center"/>
    </xf>
    <xf numFmtId="0" fontId="45" fillId="0" borderId="19" xfId="0" applyFont="1" applyFill="1" applyBorder="1" applyAlignment="1">
      <alignment horizontal="center"/>
    </xf>
    <xf numFmtId="165" fontId="4" fillId="0" borderId="19" xfId="0" applyNumberFormat="1" applyFont="1" applyFill="1" applyBorder="1" applyAlignment="1">
      <alignment horizontal="center"/>
    </xf>
    <xf numFmtId="0" fontId="0" fillId="0" borderId="19" xfId="0" applyBorder="1"/>
    <xf numFmtId="2" fontId="4" fillId="0" borderId="19" xfId="0" applyNumberFormat="1" applyFont="1" applyBorder="1"/>
    <xf numFmtId="0" fontId="0" fillId="6" borderId="19" xfId="0" applyFill="1" applyBorder="1" applyAlignment="1">
      <alignment horizontal="center"/>
    </xf>
    <xf numFmtId="2" fontId="4" fillId="0" borderId="19" xfId="0" applyNumberFormat="1" applyFont="1" applyBorder="1" applyAlignment="1">
      <alignment horizontal="center"/>
    </xf>
    <xf numFmtId="166" fontId="4" fillId="0" borderId="19" xfId="0" applyNumberFormat="1" applyFont="1" applyFill="1" applyBorder="1" applyAlignment="1">
      <alignment horizontal="center"/>
    </xf>
    <xf numFmtId="166" fontId="4" fillId="0" borderId="19" xfId="0" applyNumberFormat="1" applyFont="1" applyBorder="1" applyAlignment="1">
      <alignment horizontal="center"/>
    </xf>
    <xf numFmtId="166" fontId="4" fillId="0" borderId="19" xfId="0" applyNumberFormat="1" applyFont="1" applyBorder="1" applyAlignment="1">
      <alignment horizontal="left"/>
    </xf>
    <xf numFmtId="0" fontId="1" fillId="0" borderId="19" xfId="0" applyFont="1" applyBorder="1" applyAlignment="1">
      <alignment horizontal="center"/>
    </xf>
    <xf numFmtId="0" fontId="0" fillId="0" borderId="19" xfId="0" applyFill="1" applyBorder="1"/>
    <xf numFmtId="2" fontId="0" fillId="0" borderId="19" xfId="0" applyNumberFormat="1" applyBorder="1" applyAlignment="1">
      <alignment horizontal="center"/>
    </xf>
    <xf numFmtId="0" fontId="44" fillId="0" borderId="19" xfId="0" applyFont="1" applyFill="1" applyBorder="1"/>
    <xf numFmtId="0" fontId="44" fillId="0" borderId="0" xfId="0" applyFont="1" applyFill="1" applyBorder="1"/>
    <xf numFmtId="0" fontId="10" fillId="9" borderId="16" xfId="0" applyFont="1" applyFill="1" applyBorder="1" applyAlignment="1">
      <alignment horizontal="center" wrapText="1"/>
    </xf>
    <xf numFmtId="0" fontId="10" fillId="9" borderId="17" xfId="0" applyFont="1" applyFill="1" applyBorder="1" applyAlignment="1">
      <alignment horizontal="center" wrapText="1"/>
    </xf>
    <xf numFmtId="0" fontId="10" fillId="9" borderId="18" xfId="0" applyFont="1" applyFill="1" applyBorder="1" applyAlignment="1">
      <alignment horizontal="center" wrapText="1"/>
    </xf>
    <xf numFmtId="0" fontId="6" fillId="6" borderId="19" xfId="0" applyFont="1" applyFill="1" applyBorder="1" applyAlignment="1">
      <alignment horizontal="center"/>
    </xf>
    <xf numFmtId="0" fontId="7" fillId="9" borderId="3" xfId="0" applyFont="1" applyFill="1" applyBorder="1" applyAlignment="1">
      <alignment vertical="center"/>
    </xf>
    <xf numFmtId="0" fontId="7" fillId="9" borderId="3" xfId="0" applyFont="1" applyFill="1" applyBorder="1" applyAlignment="1">
      <alignment horizontal="left" vertical="center"/>
    </xf>
    <xf numFmtId="166" fontId="10" fillId="9" borderId="22" xfId="0" applyNumberFormat="1" applyFont="1" applyFill="1" applyBorder="1" applyAlignment="1">
      <alignment horizontal="left" wrapText="1"/>
    </xf>
    <xf numFmtId="2" fontId="4" fillId="9" borderId="1" xfId="0" applyNumberFormat="1" applyFont="1" applyFill="1" applyBorder="1" applyAlignment="1">
      <alignment horizontal="left"/>
    </xf>
    <xf numFmtId="44" fontId="4" fillId="9" borderId="9" xfId="3" applyFont="1" applyFill="1" applyBorder="1" applyAlignment="1">
      <alignment horizontal="center"/>
    </xf>
    <xf numFmtId="44" fontId="4" fillId="9" borderId="0" xfId="3" applyFont="1" applyFill="1" applyBorder="1" applyAlignment="1">
      <alignment horizontal="center"/>
    </xf>
    <xf numFmtId="44" fontId="4" fillId="9" borderId="8" xfId="3" applyFont="1" applyFill="1" applyBorder="1" applyAlignment="1">
      <alignment horizontal="center"/>
    </xf>
    <xf numFmtId="165" fontId="30" fillId="0" borderId="24" xfId="0" applyNumberFormat="1" applyFont="1" applyFill="1" applyBorder="1" applyAlignment="1">
      <alignment horizontal="right"/>
    </xf>
    <xf numFmtId="0" fontId="4" fillId="0" borderId="0" xfId="0" applyFont="1" applyBorder="1" applyAlignment="1">
      <alignment vertical="center"/>
    </xf>
    <xf numFmtId="172" fontId="4" fillId="0" borderId="0" xfId="0" applyNumberFormat="1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9" fillId="14" borderId="0" xfId="0" applyFont="1" applyFill="1" applyBorder="1" applyAlignment="1">
      <alignment vertical="center"/>
    </xf>
    <xf numFmtId="0" fontId="18" fillId="14" borderId="0" xfId="0" applyFont="1" applyFill="1" applyBorder="1" applyAlignment="1">
      <alignment vertical="center"/>
    </xf>
    <xf numFmtId="0" fontId="14" fillId="14" borderId="0" xfId="0" applyFont="1" applyFill="1" applyBorder="1" applyAlignment="1">
      <alignment vertical="center"/>
    </xf>
    <xf numFmtId="0" fontId="14" fillId="14" borderId="0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vertical="center"/>
    </xf>
    <xf numFmtId="0" fontId="42" fillId="0" borderId="0" xfId="0" applyFont="1" applyBorder="1" applyAlignment="1">
      <alignment vertical="center"/>
    </xf>
    <xf numFmtId="0" fontId="4" fillId="7" borderId="0" xfId="0" applyFont="1" applyFill="1" applyBorder="1" applyAlignment="1">
      <alignment vertical="center"/>
    </xf>
    <xf numFmtId="0" fontId="4" fillId="0" borderId="0" xfId="0" applyFont="1" applyFill="1" applyBorder="1"/>
    <xf numFmtId="0" fontId="28" fillId="0" borderId="0" xfId="0" applyFont="1" applyFill="1" applyBorder="1"/>
    <xf numFmtId="49" fontId="4" fillId="0" borderId="0" xfId="0" applyNumberFormat="1" applyFont="1" applyBorder="1" applyAlignment="1"/>
    <xf numFmtId="0" fontId="4" fillId="0" borderId="0" xfId="0" applyFont="1" applyFill="1" applyBorder="1" applyAlignment="1">
      <alignment horizontal="center" vertical="center"/>
    </xf>
    <xf numFmtId="0" fontId="4" fillId="0" borderId="17" xfId="0" applyFont="1" applyBorder="1"/>
    <xf numFmtId="0" fontId="4" fillId="0" borderId="17" xfId="0" applyFont="1" applyBorder="1" applyAlignment="1"/>
    <xf numFmtId="0" fontId="4" fillId="0" borderId="15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9" xfId="0" applyFont="1" applyBorder="1"/>
    <xf numFmtId="0" fontId="4" fillId="7" borderId="17" xfId="0" applyFont="1" applyFill="1" applyBorder="1" applyAlignment="1">
      <alignment vertical="center"/>
    </xf>
    <xf numFmtId="0" fontId="4" fillId="0" borderId="19" xfId="0" applyFont="1" applyBorder="1"/>
    <xf numFmtId="166" fontId="10" fillId="9" borderId="17" xfId="0" applyNumberFormat="1" applyFont="1" applyFill="1" applyBorder="1" applyAlignment="1">
      <alignment horizontal="center" wrapText="1"/>
    </xf>
    <xf numFmtId="0" fontId="14" fillId="0" borderId="0" xfId="0" applyFont="1" applyAlignment="1">
      <alignment horizontal="center"/>
    </xf>
    <xf numFmtId="0" fontId="15" fillId="0" borderId="0" xfId="0" applyFont="1" applyBorder="1" applyAlignment="1">
      <alignment horizontal="center"/>
    </xf>
    <xf numFmtId="0" fontId="6" fillId="9" borderId="14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2" fontId="6" fillId="9" borderId="15" xfId="0" applyNumberFormat="1" applyFont="1" applyFill="1" applyBorder="1" applyAlignment="1">
      <alignment horizontal="center" vertical="center"/>
    </xf>
    <xf numFmtId="0" fontId="31" fillId="0" borderId="0" xfId="0" applyFont="1"/>
    <xf numFmtId="0" fontId="31" fillId="0" borderId="28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31" fillId="0" borderId="0" xfId="0" applyFont="1" applyAlignment="1">
      <alignment vertical="center"/>
    </xf>
    <xf numFmtId="0" fontId="31" fillId="0" borderId="15" xfId="0" applyFont="1" applyBorder="1" applyAlignment="1">
      <alignment vertical="center"/>
    </xf>
    <xf numFmtId="0" fontId="40" fillId="14" borderId="0" xfId="0" applyFont="1" applyFill="1" applyBorder="1" applyAlignment="1">
      <alignment vertical="center"/>
    </xf>
    <xf numFmtId="0" fontId="49" fillId="0" borderId="0" xfId="0" applyFont="1" applyBorder="1" applyAlignment="1">
      <alignment vertical="center"/>
    </xf>
    <xf numFmtId="0" fontId="49" fillId="13" borderId="0" xfId="0" applyFont="1" applyFill="1" applyAlignment="1">
      <alignment vertical="center"/>
    </xf>
    <xf numFmtId="0" fontId="13" fillId="0" borderId="19" xfId="0" applyFont="1" applyFill="1" applyBorder="1" applyAlignment="1"/>
    <xf numFmtId="0" fontId="13" fillId="0" borderId="0" xfId="0" applyFont="1" applyFill="1" applyBorder="1" applyAlignment="1"/>
    <xf numFmtId="0" fontId="13" fillId="0" borderId="21" xfId="0" applyFont="1" applyFill="1" applyBorder="1" applyAlignment="1"/>
    <xf numFmtId="0" fontId="13" fillId="0" borderId="17" xfId="0" applyFont="1" applyFill="1" applyBorder="1" applyAlignment="1"/>
    <xf numFmtId="0" fontId="4" fillId="0" borderId="37" xfId="0" applyFont="1" applyBorder="1"/>
    <xf numFmtId="0" fontId="8" fillId="15" borderId="0" xfId="0" applyFont="1" applyFill="1" applyBorder="1" applyAlignment="1">
      <alignment horizontal="center"/>
    </xf>
    <xf numFmtId="0" fontId="8" fillId="15" borderId="0" xfId="0" applyFont="1" applyFill="1" applyAlignment="1">
      <alignment horizontal="center"/>
    </xf>
    <xf numFmtId="0" fontId="8" fillId="15" borderId="0" xfId="0" applyFont="1" applyFill="1"/>
    <xf numFmtId="0" fontId="8" fillId="17" borderId="0" xfId="0" applyFont="1" applyFill="1" applyBorder="1" applyAlignment="1">
      <alignment horizontal="center"/>
    </xf>
    <xf numFmtId="0" fontId="8" fillId="17" borderId="0" xfId="0" applyFont="1" applyFill="1" applyAlignment="1">
      <alignment horizontal="center"/>
    </xf>
    <xf numFmtId="0" fontId="8" fillId="17" borderId="0" xfId="0" applyFont="1" applyFill="1"/>
    <xf numFmtId="0" fontId="49" fillId="13" borderId="0" xfId="0" applyFont="1" applyFill="1" applyBorder="1" applyAlignment="1">
      <alignment vertical="center"/>
    </xf>
    <xf numFmtId="0" fontId="25" fillId="0" borderId="17" xfId="0" applyFont="1" applyBorder="1" applyAlignment="1">
      <alignment horizontal="center" vertical="center"/>
    </xf>
    <xf numFmtId="0" fontId="25" fillId="0" borderId="0" xfId="0" applyFont="1"/>
    <xf numFmtId="0" fontId="25" fillId="0" borderId="24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25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18" fillId="8" borderId="0" xfId="0" applyFont="1" applyFill="1" applyBorder="1" applyAlignment="1">
      <alignment vertical="center"/>
    </xf>
    <xf numFmtId="0" fontId="17" fillId="7" borderId="13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0" fontId="18" fillId="14" borderId="0" xfId="0" applyFont="1" applyFill="1" applyBorder="1" applyAlignment="1">
      <alignment horizontal="center" vertical="center"/>
    </xf>
    <xf numFmtId="14" fontId="4" fillId="0" borderId="24" xfId="0" applyNumberFormat="1" applyFont="1" applyFill="1" applyBorder="1" applyAlignment="1" applyProtection="1">
      <alignment horizontal="left" vertical="center"/>
      <protection locked="0"/>
    </xf>
    <xf numFmtId="0" fontId="4" fillId="0" borderId="24" xfId="0" applyFont="1" applyFill="1" applyBorder="1" applyAlignment="1" applyProtection="1">
      <alignment horizontal="left" vertical="center"/>
      <protection locked="0"/>
    </xf>
    <xf numFmtId="169" fontId="4" fillId="0" borderId="24" xfId="0" applyNumberFormat="1" applyFont="1" applyFill="1" applyBorder="1" applyAlignment="1" applyProtection="1">
      <alignment horizontal="left" vertical="center"/>
      <protection locked="0"/>
    </xf>
    <xf numFmtId="0" fontId="15" fillId="0" borderId="24" xfId="0" applyFont="1" applyFill="1" applyBorder="1" applyAlignment="1" applyProtection="1">
      <alignment vertical="center"/>
      <protection locked="0"/>
    </xf>
    <xf numFmtId="49" fontId="4" fillId="0" borderId="35" xfId="0" applyNumberFormat="1" applyFont="1" applyFill="1" applyBorder="1" applyAlignment="1" applyProtection="1">
      <alignment vertical="center"/>
      <protection locked="0"/>
    </xf>
    <xf numFmtId="170" fontId="4" fillId="0" borderId="24" xfId="0" applyNumberFormat="1" applyFont="1" applyFill="1" applyBorder="1" applyAlignment="1" applyProtection="1">
      <alignment horizontal="left" vertical="center"/>
      <protection locked="0"/>
    </xf>
    <xf numFmtId="0" fontId="4" fillId="0" borderId="24" xfId="0" applyFont="1" applyFill="1" applyBorder="1" applyAlignment="1">
      <alignment vertical="center"/>
    </xf>
    <xf numFmtId="0" fontId="4" fillId="7" borderId="0" xfId="0" applyFont="1" applyFill="1"/>
    <xf numFmtId="0" fontId="4" fillId="7" borderId="0" xfId="0" applyFont="1" applyFill="1" applyAlignment="1">
      <alignment horizontal="left"/>
    </xf>
    <xf numFmtId="0" fontId="4" fillId="7" borderId="2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4" fillId="7" borderId="40" xfId="0" applyFont="1" applyFill="1" applyBorder="1" applyAlignment="1">
      <alignment horizontal="center"/>
    </xf>
    <xf numFmtId="2" fontId="25" fillId="0" borderId="24" xfId="2" applyNumberFormat="1" applyFont="1" applyBorder="1" applyAlignment="1">
      <alignment horizontal="left" vertical="center"/>
    </xf>
    <xf numFmtId="0" fontId="13" fillId="0" borderId="0" xfId="0" applyFont="1" applyBorder="1" applyAlignment="1">
      <alignment horizontal="left" vertical="top"/>
    </xf>
    <xf numFmtId="0" fontId="4" fillId="7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center"/>
    </xf>
    <xf numFmtId="14" fontId="4" fillId="0" borderId="17" xfId="0" applyNumberFormat="1" applyFont="1" applyFill="1" applyBorder="1" applyAlignment="1" applyProtection="1">
      <alignment horizontal="left" vertical="center"/>
      <protection locked="0"/>
    </xf>
    <xf numFmtId="0" fontId="4" fillId="0" borderId="17" xfId="0" applyFont="1" applyFill="1" applyBorder="1" applyAlignment="1" applyProtection="1">
      <alignment horizontal="left" vertical="center"/>
      <protection locked="0"/>
    </xf>
    <xf numFmtId="0" fontId="48" fillId="7" borderId="0" xfId="0" applyFont="1" applyFill="1" applyBorder="1" applyAlignment="1">
      <alignment horizontal="center"/>
    </xf>
    <xf numFmtId="0" fontId="52" fillId="0" borderId="0" xfId="0" applyFont="1" applyAlignment="1"/>
    <xf numFmtId="0" fontId="14" fillId="5" borderId="16" xfId="0" applyFont="1" applyFill="1" applyBorder="1" applyAlignment="1">
      <alignment horizontal="right" vertical="center"/>
    </xf>
    <xf numFmtId="0" fontId="14" fillId="5" borderId="23" xfId="0" applyFont="1" applyFill="1" applyBorder="1" applyAlignment="1">
      <alignment horizontal="right" vertical="center"/>
    </xf>
    <xf numFmtId="0" fontId="20" fillId="8" borderId="13" xfId="0" applyFont="1" applyFill="1" applyBorder="1" applyAlignment="1">
      <alignment vertical="center"/>
    </xf>
    <xf numFmtId="0" fontId="4" fillId="0" borderId="17" xfId="0" applyFont="1" applyFill="1" applyBorder="1" applyAlignment="1">
      <alignment vertical="center"/>
    </xf>
    <xf numFmtId="0" fontId="54" fillId="7" borderId="13" xfId="0" applyFont="1" applyFill="1" applyBorder="1" applyAlignment="1">
      <alignment horizontal="left"/>
    </xf>
    <xf numFmtId="0" fontId="0" fillId="0" borderId="15" xfId="0" applyBorder="1"/>
    <xf numFmtId="0" fontId="57" fillId="7" borderId="0" xfId="0" applyFont="1" applyFill="1" applyBorder="1" applyAlignment="1">
      <alignment horizontal="right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14" fillId="0" borderId="9" xfId="0" applyFont="1" applyBorder="1"/>
    <xf numFmtId="0" fontId="14" fillId="0" borderId="40" xfId="0" applyFont="1" applyBorder="1"/>
    <xf numFmtId="0" fontId="14" fillId="0" borderId="11" xfId="0" applyFont="1" applyBorder="1"/>
    <xf numFmtId="0" fontId="58" fillId="0" borderId="6" xfId="0" applyFont="1" applyBorder="1" applyAlignment="1"/>
    <xf numFmtId="0" fontId="59" fillId="5" borderId="30" xfId="0" applyFont="1" applyFill="1" applyBorder="1"/>
    <xf numFmtId="0" fontId="59" fillId="5" borderId="23" xfId="0" applyFont="1" applyFill="1" applyBorder="1"/>
    <xf numFmtId="0" fontId="59" fillId="5" borderId="29" xfId="0" applyFont="1" applyFill="1" applyBorder="1"/>
    <xf numFmtId="0" fontId="4" fillId="0" borderId="32" xfId="0" applyFont="1" applyFill="1" applyBorder="1" applyAlignment="1" applyProtection="1">
      <alignment horizontal="right"/>
      <protection locked="0"/>
    </xf>
    <xf numFmtId="0" fontId="4" fillId="0" borderId="26" xfId="0" applyFont="1" applyFill="1" applyBorder="1" applyAlignment="1" applyProtection="1">
      <alignment horizontal="right"/>
      <protection locked="0"/>
    </xf>
    <xf numFmtId="0" fontId="4" fillId="0" borderId="33" xfId="0" applyFont="1" applyFill="1" applyBorder="1" applyAlignment="1" applyProtection="1">
      <alignment horizontal="right"/>
      <protection locked="0"/>
    </xf>
    <xf numFmtId="0" fontId="60" fillId="0" borderId="17" xfId="0" applyFont="1" applyFill="1" applyBorder="1" applyAlignment="1">
      <alignment horizontal="left"/>
    </xf>
    <xf numFmtId="166" fontId="10" fillId="9" borderId="0" xfId="0" applyNumberFormat="1" applyFont="1" applyFill="1" applyBorder="1" applyAlignment="1">
      <alignment horizontal="center" wrapText="1"/>
    </xf>
    <xf numFmtId="3" fontId="14" fillId="0" borderId="0" xfId="0" applyNumberFormat="1" applyFont="1" applyAlignment="1">
      <alignment horizontal="center"/>
    </xf>
    <xf numFmtId="3" fontId="15" fillId="0" borderId="0" xfId="0" applyNumberFormat="1" applyFont="1" applyBorder="1" applyAlignment="1">
      <alignment horizontal="center"/>
    </xf>
    <xf numFmtId="3" fontId="10" fillId="9" borderId="17" xfId="0" applyNumberFormat="1" applyFont="1" applyFill="1" applyBorder="1" applyAlignment="1">
      <alignment horizontal="center" wrapText="1"/>
    </xf>
    <xf numFmtId="1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3" fontId="13" fillId="0" borderId="0" xfId="3" applyNumberFormat="1" applyFont="1" applyBorder="1"/>
    <xf numFmtId="173" fontId="13" fillId="0" borderId="0" xfId="3" applyNumberFormat="1" applyFont="1"/>
    <xf numFmtId="173" fontId="13" fillId="0" borderId="0" xfId="3" applyNumberFormat="1" applyFont="1" applyFill="1" applyBorder="1"/>
    <xf numFmtId="173" fontId="13" fillId="0" borderId="0" xfId="3" applyNumberFormat="1" applyFont="1" applyFill="1" applyBorder="1" applyAlignment="1">
      <alignment horizontal="center" vertical="center"/>
    </xf>
    <xf numFmtId="173" fontId="64" fillId="9" borderId="3" xfId="3" applyNumberFormat="1" applyFont="1" applyFill="1" applyBorder="1" applyAlignment="1">
      <alignment horizontal="center" vertical="center"/>
    </xf>
    <xf numFmtId="173" fontId="13" fillId="9" borderId="18" xfId="3" applyNumberFormat="1" applyFont="1" applyFill="1" applyBorder="1" applyAlignment="1">
      <alignment horizontal="center" wrapText="1"/>
    </xf>
    <xf numFmtId="173" fontId="13" fillId="0" borderId="0" xfId="3" applyNumberFormat="1" applyFont="1" applyBorder="1" applyAlignment="1">
      <alignment horizontal="left"/>
    </xf>
    <xf numFmtId="173" fontId="4" fillId="9" borderId="9" xfId="3" applyNumberFormat="1" applyFont="1" applyFill="1" applyBorder="1" applyAlignment="1">
      <alignment horizontal="center"/>
    </xf>
    <xf numFmtId="174" fontId="6" fillId="9" borderId="15" xfId="0" applyNumberFormat="1" applyFont="1" applyFill="1" applyBorder="1" applyAlignment="1">
      <alignment horizontal="center" vertical="center"/>
    </xf>
    <xf numFmtId="175" fontId="4" fillId="9" borderId="8" xfId="0" applyNumberFormat="1" applyFont="1" applyFill="1" applyBorder="1" applyAlignment="1">
      <alignment horizontal="center"/>
    </xf>
    <xf numFmtId="175" fontId="4" fillId="9" borderId="0" xfId="0" applyNumberFormat="1" applyFont="1" applyFill="1" applyBorder="1" applyAlignment="1">
      <alignment horizontal="center"/>
    </xf>
    <xf numFmtId="175" fontId="4" fillId="9" borderId="9" xfId="0" applyNumberFormat="1" applyFont="1" applyFill="1" applyBorder="1" applyAlignment="1">
      <alignment horizontal="center"/>
    </xf>
    <xf numFmtId="0" fontId="57" fillId="0" borderId="26" xfId="0" applyFont="1" applyFill="1" applyBorder="1" applyAlignment="1" applyProtection="1">
      <alignment horizontal="right"/>
      <protection locked="0"/>
    </xf>
    <xf numFmtId="44" fontId="62" fillId="0" borderId="0" xfId="3" applyFont="1" applyAlignment="1">
      <alignment horizontal="left" vertical="center"/>
    </xf>
    <xf numFmtId="44" fontId="63" fillId="0" borderId="0" xfId="3" applyFont="1" applyAlignment="1">
      <alignment horizontal="left" vertical="center"/>
    </xf>
    <xf numFmtId="44" fontId="13" fillId="0" borderId="0" xfId="3" applyFont="1" applyAlignment="1">
      <alignment horizontal="left" vertical="center"/>
    </xf>
    <xf numFmtId="44" fontId="62" fillId="0" borderId="0" xfId="3" applyFont="1" applyAlignment="1">
      <alignment horizontal="right" vertical="center"/>
    </xf>
    <xf numFmtId="0" fontId="25" fillId="0" borderId="24" xfId="2" applyFont="1" applyBorder="1" applyAlignment="1">
      <alignment vertical="center"/>
    </xf>
    <xf numFmtId="0" fontId="9" fillId="8" borderId="17" xfId="0" applyFont="1" applyFill="1" applyBorder="1" applyAlignment="1">
      <alignment vertical="center"/>
    </xf>
    <xf numFmtId="0" fontId="25" fillId="0" borderId="24" xfId="0" applyFont="1" applyBorder="1" applyAlignment="1">
      <alignment vertical="center"/>
    </xf>
    <xf numFmtId="0" fontId="25" fillId="0" borderId="24" xfId="1" applyFont="1" applyBorder="1" applyAlignment="1">
      <alignment vertical="center"/>
    </xf>
    <xf numFmtId="0" fontId="25" fillId="0" borderId="15" xfId="0" applyFont="1" applyBorder="1" applyAlignment="1">
      <alignment vertical="center"/>
    </xf>
    <xf numFmtId="0" fontId="25" fillId="0" borderId="15" xfId="2" applyFont="1" applyBorder="1" applyAlignment="1">
      <alignment vertical="center"/>
    </xf>
    <xf numFmtId="0" fontId="25" fillId="0" borderId="15" xfId="1" applyFont="1" applyBorder="1" applyAlignment="1">
      <alignment vertical="center"/>
    </xf>
    <xf numFmtId="2" fontId="25" fillId="0" borderId="15" xfId="2" applyNumberFormat="1" applyFont="1" applyBorder="1" applyAlignment="1">
      <alignment horizontal="left" vertical="center"/>
    </xf>
    <xf numFmtId="0" fontId="14" fillId="7" borderId="0" xfId="0" applyFont="1" applyFill="1" applyBorder="1"/>
    <xf numFmtId="0" fontId="4" fillId="7" borderId="0" xfId="0" applyFont="1" applyFill="1" applyBorder="1"/>
    <xf numFmtId="3" fontId="10" fillId="9" borderId="0" xfId="0" applyNumberFormat="1" applyFont="1" applyFill="1" applyBorder="1" applyAlignment="1">
      <alignment horizontal="center" wrapText="1"/>
    </xf>
    <xf numFmtId="0" fontId="14" fillId="7" borderId="0" xfId="0" applyFont="1" applyFill="1" applyBorder="1" applyAlignment="1">
      <alignment horizontal="left"/>
    </xf>
    <xf numFmtId="0" fontId="9" fillId="8" borderId="0" xfId="0" applyFont="1" applyFill="1" applyBorder="1" applyAlignment="1">
      <alignment vertical="center"/>
    </xf>
    <xf numFmtId="0" fontId="14" fillId="0" borderId="0" xfId="0" applyFont="1" applyBorder="1" applyAlignment="1">
      <alignment horizontal="right"/>
    </xf>
    <xf numFmtId="2" fontId="66" fillId="0" borderId="0" xfId="0" applyNumberFormat="1" applyFont="1" applyBorder="1" applyAlignment="1">
      <alignment horizontal="center"/>
    </xf>
    <xf numFmtId="0" fontId="61" fillId="0" borderId="21" xfId="0" applyFont="1" applyFill="1" applyBorder="1" applyAlignment="1">
      <alignment vertical="top"/>
    </xf>
    <xf numFmtId="0" fontId="61" fillId="0" borderId="17" xfId="0" applyFont="1" applyFill="1" applyBorder="1" applyAlignment="1">
      <alignment vertical="top"/>
    </xf>
    <xf numFmtId="0" fontId="61" fillId="0" borderId="39" xfId="0" applyFont="1" applyFill="1" applyBorder="1" applyAlignment="1">
      <alignment vertical="top"/>
    </xf>
    <xf numFmtId="0" fontId="4" fillId="0" borderId="17" xfId="0" applyFont="1" applyFill="1" applyBorder="1" applyAlignment="1">
      <alignment horizontal="left" vertical="top"/>
    </xf>
    <xf numFmtId="0" fontId="4" fillId="0" borderId="39" xfId="0" applyFont="1" applyFill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9" xfId="0" applyFont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37" xfId="0" applyFont="1" applyBorder="1" applyAlignment="1">
      <alignment horizontal="left" vertical="top"/>
    </xf>
    <xf numFmtId="0" fontId="4" fillId="0" borderId="21" xfId="0" applyFont="1" applyFill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61" fillId="0" borderId="17" xfId="0" applyFont="1" applyBorder="1" applyAlignment="1">
      <alignment vertical="top"/>
    </xf>
    <xf numFmtId="0" fontId="61" fillId="0" borderId="39" xfId="0" applyFont="1" applyBorder="1" applyAlignment="1">
      <alignment vertical="top"/>
    </xf>
    <xf numFmtId="0" fontId="61" fillId="0" borderId="41" xfId="0" applyFont="1" applyFill="1" applyBorder="1" applyAlignment="1">
      <alignment vertical="top"/>
    </xf>
    <xf numFmtId="0" fontId="61" fillId="0" borderId="42" xfId="0" applyFont="1" applyFill="1" applyBorder="1" applyAlignment="1">
      <alignment vertical="top"/>
    </xf>
    <xf numFmtId="0" fontId="61" fillId="0" borderId="43" xfId="0" applyFont="1" applyFill="1" applyBorder="1" applyAlignment="1">
      <alignment vertical="top"/>
    </xf>
    <xf numFmtId="0" fontId="4" fillId="0" borderId="42" xfId="0" applyFont="1" applyFill="1" applyBorder="1" applyAlignment="1">
      <alignment horizontal="left" vertical="top"/>
    </xf>
    <xf numFmtId="0" fontId="4" fillId="0" borderId="43" xfId="0" applyFont="1" applyFill="1" applyBorder="1" applyAlignment="1">
      <alignment horizontal="left" vertical="top"/>
    </xf>
    <xf numFmtId="0" fontId="4" fillId="0" borderId="42" xfId="0" applyFont="1" applyBorder="1" applyAlignment="1">
      <alignment horizontal="left" vertical="top"/>
    </xf>
    <xf numFmtId="0" fontId="4" fillId="0" borderId="43" xfId="0" applyFont="1" applyBorder="1" applyAlignment="1">
      <alignment horizontal="left" vertical="top"/>
    </xf>
    <xf numFmtId="0" fontId="4" fillId="0" borderId="41" xfId="0" applyFont="1" applyFill="1" applyBorder="1" applyAlignment="1">
      <alignment horizontal="left" vertical="top"/>
    </xf>
    <xf numFmtId="0" fontId="4" fillId="0" borderId="41" xfId="0" applyFont="1" applyBorder="1" applyAlignment="1">
      <alignment horizontal="left" vertical="top"/>
    </xf>
    <xf numFmtId="0" fontId="61" fillId="0" borderId="42" xfId="0" applyFont="1" applyBorder="1" applyAlignment="1">
      <alignment vertical="top"/>
    </xf>
    <xf numFmtId="0" fontId="61" fillId="0" borderId="43" xfId="0" applyFont="1" applyBorder="1" applyAlignment="1">
      <alignment vertical="top"/>
    </xf>
    <xf numFmtId="0" fontId="51" fillId="0" borderId="17" xfId="0" applyFont="1" applyBorder="1" applyAlignment="1"/>
    <xf numFmtId="0" fontId="0" fillId="0" borderId="44" xfId="0" applyBorder="1"/>
    <xf numFmtId="0" fontId="0" fillId="0" borderId="17" xfId="0" applyBorder="1"/>
    <xf numFmtId="0" fontId="0" fillId="0" borderId="45" xfId="0" applyBorder="1"/>
    <xf numFmtId="175" fontId="30" fillId="0" borderId="24" xfId="0" applyNumberFormat="1" applyFont="1" applyFill="1" applyBorder="1" applyAlignment="1">
      <alignment horizontal="right"/>
    </xf>
    <xf numFmtId="49" fontId="4" fillId="0" borderId="33" xfId="0" applyNumberFormat="1" applyFont="1" applyFill="1" applyBorder="1" applyAlignment="1" applyProtection="1">
      <alignment horizontal="right"/>
      <protection locked="0"/>
    </xf>
    <xf numFmtId="0" fontId="48" fillId="0" borderId="0" xfId="0" applyFont="1" applyBorder="1" applyAlignment="1">
      <alignment vertical="center"/>
    </xf>
    <xf numFmtId="0" fontId="25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67" fillId="0" borderId="0" xfId="0" applyFont="1" applyFill="1" applyBorder="1" applyAlignment="1">
      <alignment horizontal="right"/>
    </xf>
    <xf numFmtId="0" fontId="67" fillId="0" borderId="34" xfId="0" applyFont="1" applyFill="1" applyBorder="1" applyAlignment="1">
      <alignment horizontal="right"/>
    </xf>
    <xf numFmtId="9" fontId="67" fillId="0" borderId="0" xfId="0" applyNumberFormat="1" applyFont="1" applyFill="1" applyBorder="1" applyAlignment="1">
      <alignment horizontal="right"/>
    </xf>
    <xf numFmtId="0" fontId="69" fillId="0" borderId="0" xfId="0" applyFont="1" applyBorder="1" applyAlignment="1">
      <alignment vertical="top"/>
    </xf>
    <xf numFmtId="0" fontId="69" fillId="0" borderId="0" xfId="0" applyFont="1" applyAlignment="1">
      <alignment vertical="center"/>
    </xf>
    <xf numFmtId="0" fontId="69" fillId="0" borderId="8" xfId="0" applyFont="1" applyBorder="1" applyAlignment="1">
      <alignment vertical="center"/>
    </xf>
    <xf numFmtId="0" fontId="69" fillId="0" borderId="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8" xfId="0" applyFont="1" applyBorder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69" fillId="0" borderId="8" xfId="0" applyFont="1" applyBorder="1" applyAlignment="1">
      <alignment horizontal="center"/>
    </xf>
    <xf numFmtId="0" fontId="69" fillId="0" borderId="0" xfId="0" applyFont="1" applyBorder="1"/>
    <xf numFmtId="0" fontId="69" fillId="0" borderId="9" xfId="0" applyFont="1" applyBorder="1"/>
    <xf numFmtId="0" fontId="69" fillId="0" borderId="0" xfId="0" applyFont="1"/>
    <xf numFmtId="0" fontId="53" fillId="0" borderId="0" xfId="0" applyFont="1" applyBorder="1" applyAlignment="1">
      <alignment horizontal="center"/>
    </xf>
    <xf numFmtId="0" fontId="53" fillId="0" borderId="8" xfId="0" applyFont="1" applyBorder="1"/>
    <xf numFmtId="0" fontId="69" fillId="0" borderId="0" xfId="0" applyFont="1" applyBorder="1" applyAlignment="1">
      <alignment horizontal="center"/>
    </xf>
    <xf numFmtId="0" fontId="69" fillId="0" borderId="7" xfId="0" applyFont="1" applyBorder="1" applyAlignment="1">
      <alignment vertical="center"/>
    </xf>
    <xf numFmtId="0" fontId="69" fillId="0" borderId="40" xfId="0" applyFont="1" applyBorder="1" applyAlignment="1">
      <alignment vertical="center"/>
    </xf>
    <xf numFmtId="0" fontId="69" fillId="0" borderId="7" xfId="0" applyFont="1" applyBorder="1" applyAlignment="1">
      <alignment horizontal="center"/>
    </xf>
    <xf numFmtId="0" fontId="69" fillId="0" borderId="2" xfId="0" applyFont="1" applyBorder="1" applyAlignment="1">
      <alignment horizontal="center"/>
    </xf>
    <xf numFmtId="0" fontId="69" fillId="0" borderId="2" xfId="0" applyFont="1" applyBorder="1"/>
    <xf numFmtId="0" fontId="69" fillId="0" borderId="40" xfId="0" applyFont="1" applyBorder="1"/>
    <xf numFmtId="0" fontId="69" fillId="0" borderId="0" xfId="0" applyFont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2" xfId="0" applyFont="1" applyBorder="1" applyAlignment="1">
      <alignment horizontal="left"/>
    </xf>
    <xf numFmtId="0" fontId="70" fillId="0" borderId="2" xfId="0" applyFont="1" applyBorder="1" applyAlignment="1">
      <alignment vertical="top"/>
    </xf>
    <xf numFmtId="0" fontId="70" fillId="0" borderId="40" xfId="0" applyFont="1" applyBorder="1" applyAlignment="1">
      <alignment vertical="top"/>
    </xf>
    <xf numFmtId="0" fontId="16" fillId="0" borderId="32" xfId="0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left"/>
    </xf>
    <xf numFmtId="0" fontId="71" fillId="0" borderId="0" xfId="0" applyFont="1" applyAlignment="1">
      <alignment horizontal="left"/>
    </xf>
    <xf numFmtId="0" fontId="4" fillId="18" borderId="17" xfId="0" applyFont="1" applyFill="1" applyBorder="1" applyAlignment="1">
      <alignment vertical="center"/>
    </xf>
    <xf numFmtId="0" fontId="4" fillId="18" borderId="24" xfId="0" applyFont="1" applyFill="1" applyBorder="1" applyAlignment="1">
      <alignment vertical="center"/>
    </xf>
    <xf numFmtId="0" fontId="14" fillId="18" borderId="24" xfId="0" applyFont="1" applyFill="1" applyBorder="1"/>
    <xf numFmtId="0" fontId="14" fillId="7" borderId="24" xfId="0" applyFont="1" applyFill="1" applyBorder="1"/>
    <xf numFmtId="0" fontId="16" fillId="18" borderId="18" xfId="0" applyFont="1" applyFill="1" applyBorder="1" applyAlignment="1">
      <alignment vertical="center"/>
    </xf>
    <xf numFmtId="0" fontId="16" fillId="18" borderId="33" xfId="0" applyFont="1" applyFill="1" applyBorder="1" applyAlignment="1">
      <alignment vertical="center"/>
    </xf>
    <xf numFmtId="0" fontId="14" fillId="18" borderId="17" xfId="0" applyFont="1" applyFill="1" applyBorder="1" applyAlignment="1">
      <alignment horizontal="right" vertical="center"/>
    </xf>
    <xf numFmtId="0" fontId="14" fillId="18" borderId="24" xfId="0" applyFont="1" applyFill="1" applyBorder="1" applyAlignment="1">
      <alignment horizontal="right" vertical="center"/>
    </xf>
    <xf numFmtId="0" fontId="4" fillId="18" borderId="24" xfId="0" applyFont="1" applyFill="1" applyBorder="1" applyAlignment="1">
      <alignment horizontal="right" vertical="center"/>
    </xf>
    <xf numFmtId="0" fontId="4" fillId="18" borderId="32" xfId="0" applyFont="1" applyFill="1" applyBorder="1" applyAlignment="1">
      <alignment horizontal="right"/>
    </xf>
    <xf numFmtId="0" fontId="4" fillId="18" borderId="33" xfId="0" applyFont="1" applyFill="1" applyBorder="1" applyAlignment="1">
      <alignment horizontal="right"/>
    </xf>
    <xf numFmtId="0" fontId="4" fillId="18" borderId="26" xfId="0" applyFont="1" applyFill="1" applyBorder="1" applyAlignment="1">
      <alignment horizontal="right"/>
    </xf>
    <xf numFmtId="0" fontId="4" fillId="18" borderId="32" xfId="0" applyFont="1" applyFill="1" applyBorder="1" applyAlignment="1" applyProtection="1">
      <alignment horizontal="right"/>
      <protection locked="0"/>
    </xf>
    <xf numFmtId="0" fontId="4" fillId="18" borderId="33" xfId="0" applyFont="1" applyFill="1" applyBorder="1" applyAlignment="1" applyProtection="1">
      <alignment horizontal="right"/>
      <protection locked="0"/>
    </xf>
    <xf numFmtId="168" fontId="4" fillId="18" borderId="32" xfId="0" applyNumberFormat="1" applyFont="1" applyFill="1" applyBorder="1" applyAlignment="1" applyProtection="1">
      <alignment horizontal="right"/>
      <protection locked="0"/>
    </xf>
    <xf numFmtId="168" fontId="4" fillId="18" borderId="33" xfId="0" applyNumberFormat="1" applyFont="1" applyFill="1" applyBorder="1" applyAlignment="1" applyProtection="1">
      <alignment horizontal="right"/>
      <protection locked="0"/>
    </xf>
    <xf numFmtId="168" fontId="4" fillId="18" borderId="26" xfId="0" applyNumberFormat="1" applyFont="1" applyFill="1" applyBorder="1" applyAlignment="1" applyProtection="1">
      <alignment horizontal="right"/>
      <protection locked="0"/>
    </xf>
    <xf numFmtId="0" fontId="3" fillId="18" borderId="24" xfId="0" applyFont="1" applyFill="1" applyBorder="1" applyAlignment="1">
      <alignment horizontal="right"/>
    </xf>
    <xf numFmtId="9" fontId="3" fillId="18" borderId="24" xfId="0" applyNumberFormat="1" applyFont="1" applyFill="1" applyBorder="1" applyAlignment="1">
      <alignment horizontal="right"/>
    </xf>
    <xf numFmtId="9" fontId="3" fillId="18" borderId="0" xfId="0" applyNumberFormat="1" applyFont="1" applyFill="1" applyBorder="1" applyAlignment="1">
      <alignment horizontal="right"/>
    </xf>
    <xf numFmtId="0" fontId="6" fillId="18" borderId="35" xfId="0" applyFont="1" applyFill="1" applyBorder="1" applyAlignment="1">
      <alignment horizontal="center"/>
    </xf>
    <xf numFmtId="168" fontId="6" fillId="18" borderId="35" xfId="0" applyNumberFormat="1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68" fillId="0" borderId="6" xfId="0" applyFont="1" applyBorder="1" applyAlignment="1">
      <alignment horizontal="center" vertical="top"/>
    </xf>
    <xf numFmtId="0" fontId="68" fillId="0" borderId="13" xfId="0" applyFont="1" applyBorder="1" applyAlignment="1">
      <alignment horizontal="center" vertical="top"/>
    </xf>
    <xf numFmtId="0" fontId="68" fillId="0" borderId="11" xfId="0" applyFont="1" applyBorder="1" applyAlignment="1">
      <alignment horizontal="center" vertical="top"/>
    </xf>
    <xf numFmtId="0" fontId="68" fillId="0" borderId="7" xfId="0" applyFont="1" applyBorder="1" applyAlignment="1">
      <alignment horizontal="center" vertical="top"/>
    </xf>
    <xf numFmtId="0" fontId="68" fillId="0" borderId="40" xfId="0" applyFont="1" applyBorder="1" applyAlignment="1">
      <alignment horizontal="center" vertical="top"/>
    </xf>
    <xf numFmtId="0" fontId="7" fillId="9" borderId="6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0" fontId="7" fillId="9" borderId="8" xfId="0" applyFont="1" applyFill="1" applyBorder="1" applyAlignment="1">
      <alignment horizontal="left" vertical="center"/>
    </xf>
    <xf numFmtId="0" fontId="7" fillId="9" borderId="0" xfId="0" applyFont="1" applyFill="1" applyBorder="1" applyAlignment="1">
      <alignment horizontal="left" vertical="center"/>
    </xf>
    <xf numFmtId="173" fontId="65" fillId="0" borderId="0" xfId="3" applyNumberFormat="1" applyFont="1" applyAlignment="1">
      <alignment horizontal="right" vertical="center"/>
    </xf>
    <xf numFmtId="173" fontId="65" fillId="0" borderId="9" xfId="3" applyNumberFormat="1" applyFont="1" applyBorder="1" applyAlignment="1">
      <alignment horizontal="right" vertical="center"/>
    </xf>
    <xf numFmtId="44" fontId="62" fillId="0" borderId="0" xfId="3" applyFont="1" applyAlignment="1">
      <alignment horizontal="right" vertical="center"/>
    </xf>
    <xf numFmtId="44" fontId="62" fillId="0" borderId="9" xfId="3" applyFont="1" applyBorder="1" applyAlignment="1">
      <alignment horizontal="right" vertical="center"/>
    </xf>
    <xf numFmtId="0" fontId="72" fillId="18" borderId="8" xfId="0" applyFont="1" applyFill="1" applyBorder="1" applyAlignment="1">
      <alignment horizontal="center"/>
    </xf>
    <xf numFmtId="0" fontId="72" fillId="18" borderId="7" xfId="0" applyFont="1" applyFill="1" applyBorder="1" applyAlignment="1">
      <alignment horizontal="center"/>
    </xf>
    <xf numFmtId="0" fontId="54" fillId="7" borderId="6" xfId="0" applyFont="1" applyFill="1" applyBorder="1" applyAlignment="1">
      <alignment horizontal="left"/>
    </xf>
    <xf numFmtId="0" fontId="54" fillId="7" borderId="13" xfId="0" applyFont="1" applyFill="1" applyBorder="1" applyAlignment="1">
      <alignment horizontal="left"/>
    </xf>
    <xf numFmtId="0" fontId="4" fillId="7" borderId="7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left"/>
    </xf>
    <xf numFmtId="0" fontId="31" fillId="0" borderId="24" xfId="0" applyFont="1" applyBorder="1" applyAlignment="1">
      <alignment horizontal="right"/>
    </xf>
    <xf numFmtId="14" fontId="0" fillId="0" borderId="24" xfId="0" applyNumberFormat="1" applyBorder="1" applyAlignment="1">
      <alignment horizontal="right"/>
    </xf>
    <xf numFmtId="0" fontId="0" fillId="0" borderId="24" xfId="0" applyBorder="1" applyAlignment="1">
      <alignment horizontal="right"/>
    </xf>
    <xf numFmtId="14" fontId="31" fillId="0" borderId="24" xfId="0" applyNumberFormat="1" applyFont="1" applyBorder="1" applyAlignment="1">
      <alignment horizontal="right"/>
    </xf>
    <xf numFmtId="0" fontId="41" fillId="0" borderId="10" xfId="0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1" fillId="0" borderId="17" xfId="0" applyFont="1" applyBorder="1" applyAlignment="1">
      <alignment horizontal="right"/>
    </xf>
    <xf numFmtId="170" fontId="4" fillId="0" borderId="24" xfId="0" applyNumberFormat="1" applyFont="1" applyFill="1" applyBorder="1" applyAlignment="1" applyProtection="1">
      <alignment horizontal="left" vertical="center"/>
      <protection locked="0"/>
    </xf>
    <xf numFmtId="0" fontId="4" fillId="0" borderId="24" xfId="0" applyFont="1" applyFill="1" applyBorder="1" applyAlignment="1" applyProtection="1">
      <alignment horizontal="left" vertical="center"/>
      <protection locked="0"/>
    </xf>
    <xf numFmtId="0" fontId="16" fillId="0" borderId="24" xfId="0" applyFont="1" applyFill="1" applyBorder="1" applyAlignment="1">
      <alignment horizontal="left" vertical="center" wrapText="1"/>
    </xf>
    <xf numFmtId="0" fontId="17" fillId="0" borderId="24" xfId="0" applyFont="1" applyFill="1" applyBorder="1" applyAlignment="1">
      <alignment horizontal="left" vertical="center"/>
    </xf>
    <xf numFmtId="0" fontId="56" fillId="7" borderId="0" xfId="0" applyFont="1" applyFill="1" applyAlignment="1">
      <alignment horizontal="center" vertical="center"/>
    </xf>
    <xf numFmtId="0" fontId="15" fillId="0" borderId="17" xfId="0" applyFont="1" applyFill="1" applyBorder="1" applyAlignment="1" applyProtection="1">
      <alignment horizontal="left" vertical="center"/>
      <protection locked="0"/>
    </xf>
    <xf numFmtId="0" fontId="4" fillId="0" borderId="24" xfId="0" applyFont="1" applyFill="1" applyBorder="1" applyAlignment="1">
      <alignment horizontal="left" vertical="center"/>
    </xf>
    <xf numFmtId="0" fontId="47" fillId="0" borderId="24" xfId="0" applyFont="1" applyBorder="1" applyAlignment="1">
      <alignment horizontal="center"/>
    </xf>
    <xf numFmtId="0" fontId="9" fillId="14" borderId="0" xfId="0" applyFont="1" applyFill="1" applyBorder="1" applyAlignment="1">
      <alignment horizontal="left" vertical="center"/>
    </xf>
    <xf numFmtId="0" fontId="17" fillId="0" borderId="17" xfId="0" applyFont="1" applyFill="1" applyBorder="1" applyAlignment="1">
      <alignment horizontal="left" vertical="center"/>
    </xf>
    <xf numFmtId="0" fontId="9" fillId="8" borderId="17" xfId="0" applyFont="1" applyFill="1" applyBorder="1" applyAlignment="1">
      <alignment horizontal="left" vertical="center"/>
    </xf>
    <xf numFmtId="0" fontId="4" fillId="18" borderId="24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center" vertical="center"/>
    </xf>
    <xf numFmtId="0" fontId="13" fillId="18" borderId="24" xfId="0" applyFont="1" applyFill="1" applyBorder="1" applyAlignment="1">
      <alignment horizontal="left" vertical="top"/>
    </xf>
    <xf numFmtId="0" fontId="13" fillId="0" borderId="24" xfId="0" applyFont="1" applyBorder="1" applyAlignment="1">
      <alignment horizontal="left" vertical="top"/>
    </xf>
    <xf numFmtId="0" fontId="48" fillId="7" borderId="0" xfId="0" applyFont="1" applyFill="1" applyBorder="1" applyAlignment="1">
      <alignment horizontal="center"/>
    </xf>
    <xf numFmtId="0" fontId="60" fillId="0" borderId="17" xfId="0" applyFont="1" applyFill="1" applyBorder="1" applyAlignment="1">
      <alignment horizontal="left"/>
    </xf>
    <xf numFmtId="0" fontId="51" fillId="0" borderId="17" xfId="0" applyFont="1" applyFill="1" applyBorder="1" applyAlignment="1">
      <alignment horizontal="left"/>
    </xf>
    <xf numFmtId="0" fontId="50" fillId="0" borderId="19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left" vertical="center"/>
    </xf>
    <xf numFmtId="49" fontId="6" fillId="0" borderId="17" xfId="0" applyNumberFormat="1" applyFont="1" applyBorder="1" applyAlignment="1">
      <alignment horizontal="left"/>
    </xf>
    <xf numFmtId="49" fontId="6" fillId="0" borderId="39" xfId="0" applyNumberFormat="1" applyFont="1" applyBorder="1" applyAlignment="1">
      <alignment horizontal="left"/>
    </xf>
    <xf numFmtId="0" fontId="49" fillId="0" borderId="20" xfId="0" applyFont="1" applyFill="1" applyBorder="1" applyAlignment="1">
      <alignment horizontal="left" vertical="center"/>
    </xf>
    <xf numFmtId="0" fontId="49" fillId="0" borderId="15" xfId="0" applyFont="1" applyFill="1" applyBorder="1" applyAlignment="1">
      <alignment horizontal="left" vertical="center"/>
    </xf>
    <xf numFmtId="0" fontId="49" fillId="0" borderId="38" xfId="0" applyFont="1" applyFill="1" applyBorder="1" applyAlignment="1">
      <alignment horizontal="left" vertical="center"/>
    </xf>
    <xf numFmtId="0" fontId="49" fillId="16" borderId="0" xfId="1" applyFont="1" applyFill="1" applyBorder="1" applyAlignment="1">
      <alignment horizontal="center" vertical="center"/>
    </xf>
    <xf numFmtId="0" fontId="49" fillId="13" borderId="0" xfId="0" applyFont="1" applyFill="1" applyBorder="1" applyAlignment="1">
      <alignment horizontal="center" vertical="center"/>
    </xf>
    <xf numFmtId="0" fontId="25" fillId="0" borderId="17" xfId="1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0" borderId="39" xfId="0" applyFont="1" applyBorder="1" applyAlignment="1">
      <alignment horizontal="left"/>
    </xf>
    <xf numFmtId="0" fontId="51" fillId="0" borderId="17" xfId="0" applyFont="1" applyBorder="1" applyAlignment="1">
      <alignment horizontal="left"/>
    </xf>
    <xf numFmtId="0" fontId="51" fillId="0" borderId="21" xfId="0" applyFont="1" applyBorder="1" applyAlignment="1">
      <alignment horizontal="left"/>
    </xf>
    <xf numFmtId="2" fontId="8" fillId="0" borderId="17" xfId="0" applyNumberFormat="1" applyFont="1" applyBorder="1" applyAlignment="1">
      <alignment horizontal="left"/>
    </xf>
    <xf numFmtId="2" fontId="8" fillId="0" borderId="39" xfId="0" applyNumberFormat="1" applyFont="1" applyBorder="1" applyAlignment="1">
      <alignment horizontal="left"/>
    </xf>
    <xf numFmtId="0" fontId="50" fillId="0" borderId="17" xfId="0" applyFont="1" applyBorder="1" applyAlignment="1">
      <alignment horizontal="center"/>
    </xf>
    <xf numFmtId="0" fontId="50" fillId="0" borderId="39" xfId="0" applyFont="1" applyBorder="1" applyAlignment="1">
      <alignment horizontal="center"/>
    </xf>
    <xf numFmtId="0" fontId="25" fillId="0" borderId="17" xfId="2" applyFont="1" applyBorder="1" applyAlignment="1">
      <alignment horizontal="center" vertical="center"/>
    </xf>
    <xf numFmtId="0" fontId="25" fillId="0" borderId="2" xfId="2" applyFont="1" applyBorder="1" applyAlignment="1">
      <alignment horizontal="center" vertical="center"/>
    </xf>
    <xf numFmtId="0" fontId="25" fillId="0" borderId="17" xfId="0" applyFont="1" applyBorder="1" applyAlignment="1">
      <alignment horizontal="center"/>
    </xf>
    <xf numFmtId="2" fontId="49" fillId="0" borderId="17" xfId="2" applyNumberFormat="1" applyFont="1" applyBorder="1" applyAlignment="1">
      <alignment horizontal="center" vertical="center"/>
    </xf>
    <xf numFmtId="2" fontId="49" fillId="0" borderId="24" xfId="2" applyNumberFormat="1" applyFont="1" applyBorder="1" applyAlignment="1">
      <alignment horizontal="center" vertical="center"/>
    </xf>
    <xf numFmtId="0" fontId="49" fillId="0" borderId="25" xfId="2" applyFont="1" applyBorder="1" applyAlignment="1">
      <alignment horizontal="center" vertical="center"/>
    </xf>
    <xf numFmtId="0" fontId="25" fillId="18" borderId="24" xfId="0" applyFont="1" applyFill="1" applyBorder="1" applyAlignment="1">
      <alignment horizontal="center"/>
    </xf>
    <xf numFmtId="0" fontId="25" fillId="18" borderId="25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/>
    </xf>
    <xf numFmtId="0" fontId="25" fillId="0" borderId="25" xfId="0" applyFont="1" applyBorder="1" applyAlignment="1">
      <alignment horizontal="center"/>
    </xf>
    <xf numFmtId="0" fontId="25" fillId="18" borderId="17" xfId="0" applyFont="1" applyFill="1" applyBorder="1" applyAlignment="1">
      <alignment horizontal="center"/>
    </xf>
    <xf numFmtId="0" fontId="25" fillId="0" borderId="0" xfId="2" applyFont="1" applyBorder="1" applyAlignment="1">
      <alignment horizontal="center" vertical="center"/>
    </xf>
    <xf numFmtId="2" fontId="49" fillId="0" borderId="25" xfId="2" applyNumberFormat="1" applyFont="1" applyBorder="1" applyAlignment="1">
      <alignment horizontal="center" vertical="center"/>
    </xf>
    <xf numFmtId="0" fontId="25" fillId="0" borderId="25" xfId="2" applyFont="1" applyBorder="1" applyAlignment="1">
      <alignment horizontal="center" vertical="center"/>
    </xf>
    <xf numFmtId="0" fontId="25" fillId="0" borderId="0" xfId="1" applyFont="1" applyBorder="1" applyAlignment="1">
      <alignment horizontal="center" vertical="center"/>
    </xf>
    <xf numFmtId="0" fontId="49" fillId="0" borderId="17" xfId="1" applyFont="1" applyBorder="1" applyAlignment="1">
      <alignment horizontal="left" vertical="center"/>
    </xf>
    <xf numFmtId="0" fontId="49" fillId="0" borderId="24" xfId="1" applyFont="1" applyBorder="1" applyAlignment="1">
      <alignment horizontal="left" vertical="center"/>
    </xf>
    <xf numFmtId="0" fontId="25" fillId="0" borderId="0" xfId="1" applyFont="1" applyBorder="1" applyAlignment="1">
      <alignment horizontal="left" vertical="center"/>
    </xf>
    <xf numFmtId="0" fontId="25" fillId="0" borderId="24" xfId="1" applyFont="1" applyBorder="1" applyAlignment="1">
      <alignment horizontal="center" vertical="center"/>
    </xf>
    <xf numFmtId="0" fontId="25" fillId="0" borderId="24" xfId="2" applyFont="1" applyBorder="1" applyAlignment="1">
      <alignment horizontal="center" vertical="center"/>
    </xf>
    <xf numFmtId="165" fontId="49" fillId="13" borderId="0" xfId="0" applyNumberFormat="1" applyFont="1" applyFill="1" applyBorder="1" applyAlignment="1">
      <alignment horizontal="right" vertical="center"/>
    </xf>
    <xf numFmtId="0" fontId="49" fillId="0" borderId="2" xfId="1" applyFont="1" applyBorder="1" applyAlignment="1">
      <alignment horizontal="left" vertical="center"/>
    </xf>
    <xf numFmtId="0" fontId="49" fillId="0" borderId="25" xfId="1" applyFont="1" applyBorder="1" applyAlignment="1">
      <alignment horizontal="left" vertical="center"/>
    </xf>
    <xf numFmtId="0" fontId="25" fillId="0" borderId="2" xfId="1" applyFont="1" applyBorder="1" applyAlignment="1">
      <alignment horizontal="center" vertical="center"/>
    </xf>
    <xf numFmtId="0" fontId="25" fillId="0" borderId="25" xfId="1" applyFont="1" applyBorder="1" applyAlignment="1">
      <alignment horizontal="center" vertical="center"/>
    </xf>
    <xf numFmtId="0" fontId="49" fillId="13" borderId="0" xfId="0" applyFont="1" applyFill="1" applyAlignment="1">
      <alignment horizontal="left" vertical="center"/>
    </xf>
    <xf numFmtId="14" fontId="31" fillId="0" borderId="17" xfId="0" applyNumberFormat="1" applyFont="1" applyBorder="1" applyAlignment="1">
      <alignment horizontal="right"/>
    </xf>
    <xf numFmtId="0" fontId="25" fillId="18" borderId="25" xfId="0" applyFont="1" applyFill="1" applyBorder="1" applyAlignment="1">
      <alignment horizontal="center"/>
    </xf>
    <xf numFmtId="0" fontId="60" fillId="0" borderId="24" xfId="0" applyFont="1" applyFill="1" applyBorder="1" applyAlignment="1">
      <alignment horizontal="left"/>
    </xf>
    <xf numFmtId="0" fontId="31" fillId="0" borderId="17" xfId="0" applyNumberFormat="1" applyFont="1" applyBorder="1" applyAlignment="1">
      <alignment horizontal="right"/>
    </xf>
    <xf numFmtId="0" fontId="48" fillId="0" borderId="0" xfId="0" applyFont="1" applyBorder="1" applyAlignment="1">
      <alignment horizontal="right" vertical="center"/>
    </xf>
    <xf numFmtId="0" fontId="48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8" fillId="17" borderId="0" xfId="0" applyFont="1" applyFill="1" applyAlignment="1">
      <alignment horizontal="left"/>
    </xf>
    <xf numFmtId="0" fontId="71" fillId="0" borderId="0" xfId="0" applyFont="1" applyAlignment="1">
      <alignment horizontal="left"/>
    </xf>
    <xf numFmtId="0" fontId="8" fillId="11" borderId="0" xfId="0" applyFont="1" applyFill="1" applyBorder="1" applyAlignment="1">
      <alignment horizontal="left"/>
    </xf>
    <xf numFmtId="0" fontId="8" fillId="15" borderId="0" xfId="0" applyFont="1" applyFill="1" applyAlignment="1">
      <alignment horizontal="left"/>
    </xf>
    <xf numFmtId="0" fontId="8" fillId="0" borderId="0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4">
    <cellStyle name="Standard" xfId="0" builtinId="0"/>
    <cellStyle name="Standard_Mappe1" xfId="1"/>
    <cellStyle name="Standard_Temporary ODF 11" xfId="2"/>
    <cellStyle name="Währung" xfId="3" builtinId="4"/>
  </cellStyles>
  <dxfs count="18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1</xdr:row>
          <xdr:rowOff>9525</xdr:rowOff>
        </xdr:from>
        <xdr:to>
          <xdr:col>29</xdr:col>
          <xdr:colOff>1943100</xdr:colOff>
          <xdr:row>3</xdr:row>
          <xdr:rowOff>180975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0</xdr:row>
      <xdr:rowOff>0</xdr:rowOff>
    </xdr:from>
    <xdr:to>
      <xdr:col>3</xdr:col>
      <xdr:colOff>653508</xdr:colOff>
      <xdr:row>1</xdr:row>
      <xdr:rowOff>133350</xdr:rowOff>
    </xdr:to>
    <xdr:pic>
      <xdr:nvPicPr>
        <xdr:cNvPr id="7195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5" y="0"/>
          <a:ext cx="2129883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0</xdr:row>
      <xdr:rowOff>28575</xdr:rowOff>
    </xdr:from>
    <xdr:to>
      <xdr:col>6</xdr:col>
      <xdr:colOff>342900</xdr:colOff>
      <xdr:row>1</xdr:row>
      <xdr:rowOff>95250</xdr:rowOff>
    </xdr:to>
    <xdr:pic>
      <xdr:nvPicPr>
        <xdr:cNvPr id="3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8575"/>
          <a:ext cx="18192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9525</xdr:rowOff>
    </xdr:from>
    <xdr:to>
      <xdr:col>2</xdr:col>
      <xdr:colOff>676275</xdr:colOff>
      <xdr:row>1</xdr:row>
      <xdr:rowOff>28575</xdr:rowOff>
    </xdr:to>
    <xdr:pic>
      <xdr:nvPicPr>
        <xdr:cNvPr id="2070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24098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371475</xdr:colOff>
      <xdr:row>3</xdr:row>
      <xdr:rowOff>9526</xdr:rowOff>
    </xdr:from>
    <xdr:to>
      <xdr:col>29</xdr:col>
      <xdr:colOff>384464</xdr:colOff>
      <xdr:row>5</xdr:row>
      <xdr:rowOff>18956</xdr:rowOff>
    </xdr:to>
    <xdr:pic>
      <xdr:nvPicPr>
        <xdr:cNvPr id="8207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025" y="752476"/>
          <a:ext cx="2746664" cy="5809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352425</xdr:colOff>
          <xdr:row>3</xdr:row>
          <xdr:rowOff>0</xdr:rowOff>
        </xdr:from>
        <xdr:to>
          <xdr:col>30</xdr:col>
          <xdr:colOff>152400</xdr:colOff>
          <xdr:row>5</xdr:row>
          <xdr:rowOff>28575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200606_Kalku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ndard/Desktop/5_FP_ALG_01_bauteilspezif._Fertigungsprotokol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mdaten"/>
      <sheetName val="Overhead Kosten"/>
    </sheetNames>
    <sheetDataSet>
      <sheetData sheetId="0">
        <row r="2">
          <cell r="J2">
            <v>35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kblatt"/>
      <sheetName val="Materialien"/>
      <sheetName val="WZ-Vorbereitung"/>
      <sheetName val="Zuschnitt &amp; Preforming"/>
      <sheetName val="Autoklavvorbereitung"/>
      <sheetName val="Autoklav-Prozess"/>
      <sheetName val="Entformen"/>
      <sheetName val="Tempern"/>
      <sheetName val="Nachbearbeitung intern"/>
      <sheetName val="Nachbearbeitung extern"/>
      <sheetName val="Endkontrolle"/>
      <sheetName val="Dropdown-Men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46"/>
  <sheetViews>
    <sheetView tabSelected="1" zoomScaleNormal="100" workbookViewId="0">
      <selection activeCell="AH5" sqref="AH5"/>
    </sheetView>
  </sheetViews>
  <sheetFormatPr baseColWidth="10" defaultRowHeight="14.25"/>
  <cols>
    <col min="1" max="2" width="3.85546875" style="47" customWidth="1"/>
    <col min="3" max="4" width="33.7109375" style="47" customWidth="1"/>
    <col min="5" max="5" width="3.85546875" style="363" hidden="1" customWidth="1"/>
    <col min="6" max="6" width="8.7109375" style="55" hidden="1" customWidth="1"/>
    <col min="7" max="7" width="8.7109375" style="47" hidden="1" customWidth="1"/>
    <col min="8" max="8" width="10.42578125" style="47" hidden="1" customWidth="1"/>
    <col min="9" max="15" width="10.28515625" style="47" hidden="1" customWidth="1"/>
    <col min="16" max="16" width="8.7109375" style="47" hidden="1" customWidth="1"/>
    <col min="17" max="17" width="12.42578125" style="47" hidden="1" customWidth="1"/>
    <col min="18" max="18" width="12.140625" style="47" hidden="1" customWidth="1"/>
    <col min="19" max="19" width="8.7109375" style="47" hidden="1" customWidth="1"/>
    <col min="20" max="20" width="28.28515625" style="65" hidden="1" customWidth="1"/>
    <col min="21" max="26" width="9.5703125" style="278" hidden="1" customWidth="1"/>
    <col min="27" max="27" width="9.5703125" style="353" hidden="1" customWidth="1"/>
    <col min="28" max="28" width="7.7109375" style="47" customWidth="1"/>
    <col min="29" max="29" width="10.85546875" style="47" customWidth="1"/>
    <col min="30" max="30" width="29.28515625" style="47" customWidth="1"/>
    <col min="31" max="31" width="4.5703125" style="47" customWidth="1"/>
    <col min="32" max="32" width="6.5703125" style="47" customWidth="1"/>
    <col min="33" max="33" width="4.28515625" style="47" customWidth="1"/>
    <col min="34" max="34" width="10.85546875" style="278" customWidth="1"/>
    <col min="35" max="35" width="11.28515625" style="2" customWidth="1"/>
    <col min="36" max="36" width="16" style="47" customWidth="1"/>
    <col min="37" max="40" width="10.7109375" style="47" customWidth="1"/>
    <col min="41" max="41" width="8.42578125" style="47" hidden="1" customWidth="1"/>
    <col min="42" max="43" width="9.7109375" style="47" hidden="1" customWidth="1"/>
    <col min="44" max="44" width="9.7109375" style="47" customWidth="1"/>
    <col min="45" max="47" width="8.28515625" style="47" customWidth="1"/>
    <col min="48" max="48" width="39" style="47" customWidth="1"/>
    <col min="49" max="16384" width="11.42578125" style="47"/>
  </cols>
  <sheetData>
    <row r="1" spans="1:40" ht="15" thickBot="1">
      <c r="A1" s="49"/>
      <c r="B1" s="49"/>
      <c r="C1" s="49"/>
      <c r="D1" s="49"/>
      <c r="E1" s="362"/>
      <c r="F1" s="63"/>
      <c r="G1" s="49"/>
      <c r="H1" s="49"/>
      <c r="AI1" s="278"/>
    </row>
    <row r="2" spans="1:40" ht="15">
      <c r="A2" s="494">
        <f>HLOOKUP(Komplexitaet,Stammdaten!D4:G11,2,0)</f>
        <v>4</v>
      </c>
      <c r="B2" s="495"/>
      <c r="C2" s="66" t="s">
        <v>32</v>
      </c>
      <c r="D2" s="468" t="s">
        <v>3</v>
      </c>
      <c r="G2"/>
      <c r="H2"/>
      <c r="I2"/>
      <c r="J2"/>
      <c r="K2"/>
      <c r="L2"/>
      <c r="M2"/>
      <c r="N2"/>
      <c r="AC2" s="344" t="s">
        <v>214</v>
      </c>
      <c r="AD2" s="343"/>
      <c r="AI2" s="278"/>
    </row>
    <row r="3" spans="1:40" ht="15">
      <c r="A3" s="496">
        <f>VLOOKUP(Harztyp,(Stammdaten!C81:D106),2,0)</f>
        <v>2.1626499999999997</v>
      </c>
      <c r="B3" s="497"/>
      <c r="C3" s="67" t="s">
        <v>33</v>
      </c>
      <c r="D3" s="469" t="s">
        <v>18</v>
      </c>
      <c r="G3"/>
      <c r="H3"/>
      <c r="I3"/>
      <c r="J3"/>
      <c r="K3"/>
      <c r="L3"/>
      <c r="M3"/>
      <c r="N3"/>
      <c r="AC3" s="498">
        <v>3</v>
      </c>
      <c r="AD3" s="341"/>
      <c r="AI3" s="278"/>
    </row>
    <row r="4" spans="1:40" ht="15.75" thickBot="1">
      <c r="A4" s="496">
        <f>VLOOKUP(D4,(Stammdaten!C69:D79),2,0)</f>
        <v>5.0999999999999996</v>
      </c>
      <c r="B4" s="497"/>
      <c r="C4" s="67" t="s">
        <v>124</v>
      </c>
      <c r="D4" s="469" t="s">
        <v>54</v>
      </c>
      <c r="G4"/>
      <c r="H4"/>
      <c r="I4"/>
      <c r="J4"/>
      <c r="K4"/>
      <c r="L4"/>
      <c r="M4"/>
      <c r="N4"/>
      <c r="AC4" s="499"/>
      <c r="AD4" s="342"/>
      <c r="AI4" s="278"/>
    </row>
    <row r="5" spans="1:40" ht="15.75" thickBot="1">
      <c r="A5" s="378"/>
      <c r="B5" s="392"/>
      <c r="C5" s="67" t="s">
        <v>127</v>
      </c>
      <c r="D5" s="469" t="s">
        <v>129</v>
      </c>
      <c r="G5"/>
      <c r="H5"/>
      <c r="I5"/>
      <c r="J5"/>
      <c r="K5"/>
      <c r="L5"/>
      <c r="M5"/>
      <c r="N5"/>
      <c r="AI5" s="278"/>
    </row>
    <row r="6" spans="1:40" ht="15">
      <c r="A6" s="496">
        <f>VLOOKUP(D6,(Stammdaten!C69:D79),2,0)</f>
        <v>5.0999999999999996</v>
      </c>
      <c r="B6" s="497"/>
      <c r="C6" s="67" t="s">
        <v>126</v>
      </c>
      <c r="D6" s="469" t="s">
        <v>54</v>
      </c>
      <c r="G6"/>
      <c r="H6"/>
      <c r="I6"/>
      <c r="J6"/>
      <c r="K6"/>
      <c r="L6"/>
      <c r="M6"/>
      <c r="N6"/>
      <c r="AC6" s="345" t="s">
        <v>348</v>
      </c>
      <c r="AD6" s="471"/>
      <c r="AI6" s="278"/>
    </row>
    <row r="7" spans="1:40" ht="15.75" thickBot="1">
      <c r="A7" s="375"/>
      <c r="B7" s="49"/>
      <c r="C7" s="75" t="s">
        <v>127</v>
      </c>
      <c r="D7" s="470" t="s">
        <v>130</v>
      </c>
      <c r="G7"/>
      <c r="H7"/>
      <c r="I7"/>
      <c r="J7"/>
      <c r="K7"/>
      <c r="L7"/>
      <c r="M7"/>
      <c r="N7"/>
      <c r="AC7" s="347" t="s">
        <v>346</v>
      </c>
      <c r="AD7" s="470" t="s">
        <v>362</v>
      </c>
      <c r="AI7" s="278"/>
    </row>
    <row r="8" spans="1:40" ht="9" customHeight="1" thickBot="1">
      <c r="A8" s="49"/>
      <c r="B8" s="49"/>
      <c r="C8" s="137"/>
      <c r="D8" s="339"/>
      <c r="G8"/>
      <c r="H8"/>
      <c r="I8"/>
      <c r="J8"/>
      <c r="K8"/>
      <c r="L8"/>
      <c r="M8"/>
      <c r="N8"/>
      <c r="AB8" s="376"/>
      <c r="AD8" s="217"/>
      <c r="AI8" s="278"/>
    </row>
    <row r="9" spans="1:40" ht="16.5">
      <c r="A9" s="49"/>
      <c r="B9" s="49"/>
      <c r="C9" s="66" t="s">
        <v>38</v>
      </c>
      <c r="D9" s="471">
        <v>1.6</v>
      </c>
      <c r="G9"/>
      <c r="H9"/>
      <c r="I9"/>
      <c r="J9"/>
      <c r="K9"/>
      <c r="L9"/>
      <c r="M9"/>
      <c r="N9"/>
      <c r="AB9" s="376"/>
      <c r="AC9" s="345" t="s">
        <v>328</v>
      </c>
      <c r="AD9" s="456" t="str">
        <f>FA!C13</f>
        <v>Testkunde</v>
      </c>
      <c r="AI9" s="278"/>
    </row>
    <row r="10" spans="1:40" ht="15">
      <c r="A10" s="49"/>
      <c r="B10" s="49"/>
      <c r="C10" s="67" t="s">
        <v>106</v>
      </c>
      <c r="D10" s="472">
        <v>4</v>
      </c>
      <c r="G10"/>
      <c r="H10"/>
      <c r="I10"/>
      <c r="J10"/>
      <c r="K10"/>
      <c r="L10"/>
      <c r="M10"/>
      <c r="N10"/>
      <c r="AB10" s="377"/>
      <c r="AC10" s="346" t="s">
        <v>329</v>
      </c>
      <c r="AD10" s="350" t="str">
        <f>FA!C14</f>
        <v>Herr Testmann</v>
      </c>
      <c r="AI10" s="278"/>
    </row>
    <row r="11" spans="1:40" ht="15.75" customHeight="1" thickBot="1">
      <c r="A11" s="49"/>
      <c r="B11" s="49"/>
      <c r="C11" s="75" t="s">
        <v>40</v>
      </c>
      <c r="D11" s="470">
        <v>1</v>
      </c>
      <c r="G11"/>
      <c r="H11"/>
      <c r="I11"/>
      <c r="J11"/>
      <c r="K11"/>
      <c r="L11"/>
      <c r="M11"/>
      <c r="N11"/>
      <c r="O11" s="49"/>
      <c r="P11" s="49"/>
      <c r="Q11" s="49"/>
      <c r="R11" s="49"/>
      <c r="AB11" s="377"/>
      <c r="AC11" s="347" t="s">
        <v>330</v>
      </c>
      <c r="AD11" s="349" t="str">
        <f>FA!C15</f>
        <v>0351 26 31 31 21</v>
      </c>
      <c r="AI11" s="278"/>
    </row>
    <row r="12" spans="1:40" ht="8.25" customHeight="1" thickBot="1">
      <c r="A12" s="49"/>
      <c r="B12" s="49"/>
      <c r="C12" s="137"/>
      <c r="D12" s="138"/>
      <c r="G12"/>
      <c r="H12"/>
      <c r="I12"/>
      <c r="J12"/>
      <c r="K12"/>
      <c r="L12"/>
      <c r="M12"/>
      <c r="N12"/>
      <c r="O12" s="49"/>
      <c r="P12" s="49"/>
      <c r="Q12" s="49"/>
      <c r="R12" s="49"/>
      <c r="AB12" s="377"/>
      <c r="AI12" s="278"/>
    </row>
    <row r="13" spans="1:40" ht="15.75" customHeight="1">
      <c r="A13" s="49"/>
      <c r="B13" s="49"/>
      <c r="C13" s="66" t="s">
        <v>42</v>
      </c>
      <c r="D13" s="473">
        <v>0</v>
      </c>
      <c r="G13"/>
      <c r="H13"/>
      <c r="I13"/>
      <c r="J13"/>
      <c r="K13"/>
      <c r="L13"/>
      <c r="M13"/>
      <c r="N13"/>
      <c r="O13" s="49"/>
      <c r="P13" s="49"/>
      <c r="Q13" s="49"/>
      <c r="R13" s="49"/>
      <c r="AB13" s="377"/>
      <c r="AC13" s="345" t="s">
        <v>317</v>
      </c>
      <c r="AD13" s="348" t="str">
        <f>FA!C4</f>
        <v>Testgegenstand</v>
      </c>
      <c r="AI13" s="278"/>
    </row>
    <row r="14" spans="1:40" ht="15.75" customHeight="1">
      <c r="A14" s="49"/>
      <c r="B14" s="49"/>
      <c r="C14" s="67" t="s">
        <v>108</v>
      </c>
      <c r="D14" s="474">
        <v>0</v>
      </c>
      <c r="G14"/>
      <c r="H14"/>
      <c r="I14"/>
      <c r="J14"/>
      <c r="K14"/>
      <c r="L14"/>
      <c r="M14"/>
      <c r="N14"/>
      <c r="O14" s="49"/>
      <c r="P14" s="49"/>
      <c r="Q14" s="49"/>
      <c r="R14" s="49"/>
      <c r="AB14" s="377"/>
      <c r="AC14" s="346" t="s">
        <v>306</v>
      </c>
      <c r="AD14" s="424" t="str">
        <f>FA!Q2</f>
        <v>214000</v>
      </c>
    </row>
    <row r="15" spans="1:40" ht="15.75" customHeight="1" thickBot="1">
      <c r="A15" s="49"/>
      <c r="B15" s="49"/>
      <c r="C15" s="75" t="s">
        <v>107</v>
      </c>
      <c r="D15" s="475">
        <v>0</v>
      </c>
      <c r="G15"/>
      <c r="H15"/>
      <c r="I15"/>
      <c r="J15"/>
      <c r="K15"/>
      <c r="L15"/>
      <c r="M15"/>
      <c r="N15"/>
      <c r="O15" s="49"/>
      <c r="P15" s="49"/>
      <c r="Q15" s="49"/>
      <c r="R15" s="49"/>
      <c r="AB15" s="377"/>
      <c r="AC15" s="347"/>
      <c r="AD15" s="374"/>
      <c r="AG15" s="332"/>
    </row>
    <row r="16" spans="1:40" ht="15.75" customHeight="1" thickBot="1">
      <c r="A16" s="46"/>
      <c r="B16" s="46"/>
      <c r="C16" s="46"/>
      <c r="D16" s="46"/>
      <c r="E16" s="364"/>
      <c r="F16" s="52"/>
      <c r="G16" s="64"/>
      <c r="H16" s="48"/>
      <c r="I16" s="46"/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7"/>
      <c r="U16" s="54"/>
      <c r="X16" s="279"/>
      <c r="Y16" s="279"/>
      <c r="Z16" s="279"/>
      <c r="AA16" s="354"/>
      <c r="AC16" s="49"/>
      <c r="AD16" s="136"/>
      <c r="AE16" s="136"/>
      <c r="AF16" s="136"/>
      <c r="AG16" s="136"/>
      <c r="AI16" s="278"/>
      <c r="AJ16" s="278"/>
      <c r="AK16" s="278"/>
      <c r="AL16" s="278"/>
      <c r="AM16" s="278"/>
      <c r="AN16" s="278"/>
    </row>
    <row r="17" spans="1:42" s="361" customFormat="1" ht="11.25" hidden="1" customHeight="1" thickBot="1">
      <c r="A17" s="357"/>
      <c r="B17" s="357"/>
      <c r="C17" s="357">
        <v>3</v>
      </c>
      <c r="D17" s="357"/>
      <c r="E17" s="365">
        <v>2</v>
      </c>
      <c r="F17" s="356">
        <v>8</v>
      </c>
      <c r="G17" s="357">
        <v>9</v>
      </c>
      <c r="H17" s="358"/>
      <c r="I17" s="357"/>
      <c r="J17" s="357">
        <v>10</v>
      </c>
      <c r="K17" s="357">
        <v>11</v>
      </c>
      <c r="L17" s="357">
        <v>14</v>
      </c>
      <c r="M17" s="357"/>
      <c r="N17" s="357">
        <v>15</v>
      </c>
      <c r="O17" s="357">
        <v>16</v>
      </c>
      <c r="P17" s="359">
        <v>17</v>
      </c>
      <c r="Q17" s="359">
        <v>12</v>
      </c>
      <c r="R17" s="359">
        <v>14</v>
      </c>
      <c r="S17" s="359">
        <v>18</v>
      </c>
      <c r="T17" s="359">
        <v>19</v>
      </c>
      <c r="U17" s="359"/>
      <c r="V17" s="359"/>
      <c r="W17" s="359"/>
      <c r="X17" s="359"/>
      <c r="Y17" s="359"/>
      <c r="Z17" s="359"/>
      <c r="AA17" s="360"/>
      <c r="AC17" s="359"/>
      <c r="AD17" s="359"/>
      <c r="AE17" s="359"/>
      <c r="AF17" s="359"/>
      <c r="AG17" s="359"/>
    </row>
    <row r="18" spans="1:42" s="50" customFormat="1" ht="23.25" customHeight="1" thickBot="1">
      <c r="A18" s="46"/>
      <c r="B18" s="46"/>
      <c r="C18" s="46"/>
      <c r="D18" s="46"/>
      <c r="E18" s="366" t="s">
        <v>331</v>
      </c>
      <c r="F18" s="481" t="s">
        <v>105</v>
      </c>
      <c r="G18" s="482"/>
      <c r="H18" s="483"/>
      <c r="I18" s="247" t="s">
        <v>286</v>
      </c>
      <c r="J18" s="489" t="s">
        <v>292</v>
      </c>
      <c r="K18" s="490"/>
      <c r="L18" s="490"/>
      <c r="M18" s="491"/>
      <c r="N18" s="489" t="s">
        <v>293</v>
      </c>
      <c r="O18" s="491"/>
      <c r="P18" s="481" t="s">
        <v>13</v>
      </c>
      <c r="Q18" s="482"/>
      <c r="R18" s="482"/>
      <c r="S18" s="483"/>
      <c r="T18" s="248" t="s">
        <v>68</v>
      </c>
      <c r="U18" s="492" t="s">
        <v>128</v>
      </c>
      <c r="V18" s="493"/>
      <c r="W18" s="493"/>
      <c r="X18" s="493"/>
      <c r="Y18" s="493"/>
      <c r="Z18" s="493"/>
      <c r="AA18" s="493"/>
      <c r="AC18" s="484" t="s">
        <v>298</v>
      </c>
      <c r="AD18" s="486"/>
      <c r="AE18" s="431"/>
      <c r="AF18" s="431"/>
      <c r="AG18" s="431"/>
      <c r="AH18" s="484" t="s">
        <v>325</v>
      </c>
      <c r="AI18" s="485"/>
      <c r="AJ18" s="485"/>
      <c r="AK18" s="485"/>
      <c r="AL18" s="485"/>
      <c r="AM18" s="486"/>
      <c r="AN18" s="432"/>
    </row>
    <row r="19" spans="1:42" s="50" customFormat="1" ht="26.25" customHeight="1" thickBot="1">
      <c r="A19" s="174" t="s">
        <v>239</v>
      </c>
      <c r="B19" s="192" t="s">
        <v>240</v>
      </c>
      <c r="C19" s="335"/>
      <c r="D19" s="68" t="s">
        <v>65</v>
      </c>
      <c r="E19" s="367"/>
      <c r="F19" s="139" t="s">
        <v>25</v>
      </c>
      <c r="G19" s="140" t="s">
        <v>24</v>
      </c>
      <c r="H19" s="245" t="s">
        <v>288</v>
      </c>
      <c r="I19" s="245" t="s">
        <v>288</v>
      </c>
      <c r="J19" s="243" t="s">
        <v>24</v>
      </c>
      <c r="K19" s="244" t="s">
        <v>25</v>
      </c>
      <c r="L19" s="244" t="s">
        <v>287</v>
      </c>
      <c r="M19" s="245" t="s">
        <v>288</v>
      </c>
      <c r="N19" s="71" t="s">
        <v>49</v>
      </c>
      <c r="O19" s="72" t="s">
        <v>294</v>
      </c>
      <c r="P19" s="73" t="s">
        <v>289</v>
      </c>
      <c r="Q19" s="74" t="s">
        <v>104</v>
      </c>
      <c r="R19" s="74" t="s">
        <v>290</v>
      </c>
      <c r="S19" s="74" t="s">
        <v>291</v>
      </c>
      <c r="T19" s="249" t="s">
        <v>69</v>
      </c>
      <c r="U19" s="73" t="s">
        <v>86</v>
      </c>
      <c r="V19" s="277" t="s">
        <v>133</v>
      </c>
      <c r="W19" s="277" t="s">
        <v>135</v>
      </c>
      <c r="X19" s="277" t="s">
        <v>134</v>
      </c>
      <c r="Y19" s="277" t="s">
        <v>136</v>
      </c>
      <c r="Z19" s="277" t="s">
        <v>131</v>
      </c>
      <c r="AA19" s="355" t="s">
        <v>105</v>
      </c>
      <c r="AC19" s="487"/>
      <c r="AD19" s="488"/>
      <c r="AE19" s="431"/>
      <c r="AF19" s="431"/>
      <c r="AG19" s="431"/>
      <c r="AH19" s="452" t="s">
        <v>299</v>
      </c>
      <c r="AI19" s="453" t="s">
        <v>297</v>
      </c>
      <c r="AJ19" s="454"/>
      <c r="AK19" s="454"/>
      <c r="AL19" s="454"/>
      <c r="AM19" s="455"/>
      <c r="AN19" s="432"/>
    </row>
    <row r="20" spans="1:42" s="50" customFormat="1" ht="18" customHeight="1">
      <c r="A20" s="333">
        <v>1</v>
      </c>
      <c r="B20" s="465">
        <v>22</v>
      </c>
      <c r="C20" s="336" t="str">
        <f>IF(ISNA(VLOOKUP(B20,Stammdaten!$A$11:$C$59,$C$17,0)),"",(VLOOKUP(B20,Stammdaten!$A$11:$C$59,$C$17,0)))</f>
        <v>Material Zuschnitt</v>
      </c>
      <c r="D20" s="463" t="s">
        <v>332</v>
      </c>
      <c r="E20" s="369">
        <f>IF(ISNA(VLOOKUP($B20,Stammdaten!$A$11:$S$59,E$17,0)),"",VLOOKUP($B20,Stammdaten!$A$11:$S$59,E$17,0))</f>
        <v>2</v>
      </c>
      <c r="F20" s="371">
        <f>IF(ISNA(VLOOKUP($B20,Stammdaten!$A$11:$S$59,F$17,0)),"",VLOOKUP($B20,Stammdaten!$A$11:$S$59,F$17,0))</f>
        <v>3.84</v>
      </c>
      <c r="G20" s="372">
        <f>IF(ISNA(VLOOKUP($B20,Stammdaten!$A$11:$S$59,G$17,0)),"",VLOOKUP($B20,Stammdaten!$A$11:$S$59,G$17,0))</f>
        <v>10</v>
      </c>
      <c r="H20" s="373">
        <f>IF(SUM(F20:G20)=0,"",MROUND(SUM(F20:G20),10))</f>
        <v>10</v>
      </c>
      <c r="I20" s="251">
        <f t="shared" ref="I20:I59" si="0">IF(H20="","",H20/60*LK)</f>
        <v>5.833333333333333</v>
      </c>
      <c r="J20" s="252">
        <f>IF(ISNA(VLOOKUP($B20,Stammdaten!$A$11:$S$59,J$17,0)),"",VLOOKUP($B20,Stammdaten!$A$11:$S$59,J$17,0))</f>
        <v>0.5</v>
      </c>
      <c r="K20" s="252">
        <f>IF(ISNA(VLOOKUP($B20,Stammdaten!$A$11:$S$59,K$17,0)),"",VLOOKUP($B20,Stammdaten!$A$11:$S$59,K$17,0)*Fläche)</f>
        <v>0</v>
      </c>
      <c r="L20" s="252">
        <f>IF(ISNA(VLOOKUP($B20,Stammdaten!$A$11:$S$59,L$17,0)),"",VLOOKUP($B20,Stammdaten!$A$11:$S$59,L$17,0)/1000*$A$3*Fläche)</f>
        <v>0</v>
      </c>
      <c r="M20" s="252">
        <f>IF(SUM(J20:L20)=0,"",SUM(J20:L20))</f>
        <v>0.5</v>
      </c>
      <c r="N20" s="253">
        <f>IF(ISNA(VLOOKUP($B20,Stammdaten!$A$11:$S$59,N$17,0)),"",VLOOKUP($B20,Stammdaten!$A$11:$S$59,N$17,0))</f>
        <v>1.2</v>
      </c>
      <c r="O20" s="252">
        <f>IF(ISNA(VLOOKUP($B20,Stammdaten!$A$11:$S$59,O$17,0)),"",VLOOKUP($B20,Stammdaten!$A$11:$S$59,O$17,1)*Fläche)</f>
        <v>1.2800000000000002</v>
      </c>
      <c r="P20" s="69">
        <f>IF(ISNA(VLOOKUP($B20,Stammdaten!$A$11:$S$59,P$17,0)),"",VLOOKUP($B20,Stammdaten!$A$11:$S$59,P$17,0))</f>
        <v>0</v>
      </c>
      <c r="Q20" s="70">
        <f>IF(ISNA(VLOOKUP($B20,Stammdaten!$A$11:$S$59,Q$17,0)),"",VLOOKUP($B20,Stammdaten!$A$11:$S$59,Q$17,0)*Fläche/1000)</f>
        <v>0</v>
      </c>
      <c r="R20" s="70">
        <f>IF(ISNA(VLOOKUP($B20,Stammdaten!$A$11:$S$59,R$17,0)),"",VLOOKUP($B20,Stammdaten!$A$11:$S$59,R$17,0)*Fläche/1000)</f>
        <v>0</v>
      </c>
      <c r="S20" s="70">
        <f>IF(ISNA(VLOOKUP($B20,Stammdaten!$A$11:$S$59,S$17,0)),"",VLOOKUP($B20,Stammdaten!$A$11:$S$59,S$17,0)*Fläche)</f>
        <v>0</v>
      </c>
      <c r="T20" s="250" t="str">
        <f>IF(ISNA(VLOOKUP($B20,Stammdaten!$A$11:$S$59,T$17,0)),"",VLOOKUP($B20,Stammdaten!$A$11:$S$59,T$17,0))</f>
        <v>ZU-000 Zuschnitt</v>
      </c>
      <c r="U20" s="280" t="str">
        <f t="shared" ref="U20:U59" si="1">IF(B20=29,Umfang,"")</f>
        <v/>
      </c>
      <c r="V20" s="281" t="str">
        <f>IF(OR(B20=25,B20=26),Ablauf!$D$5,"")</f>
        <v/>
      </c>
      <c r="W20" s="281" t="str">
        <f>IF(OR(B20=25,B20=26),Ablauf!S20,"")</f>
        <v/>
      </c>
      <c r="X20" s="281" t="str">
        <f>IF(OR(B20=33,B20=34),Ablauf!$D$7,"")</f>
        <v/>
      </c>
      <c r="Y20" s="281" t="str">
        <f>IF(OR(B20=33,B20=34),Ablauf!S20,"")</f>
        <v/>
      </c>
      <c r="Z20" s="282" t="str">
        <f>IF(OR(B20=31,B20=32),ROUND(SUM($S$20:$S$59),2),"")</f>
        <v/>
      </c>
      <c r="AA20" s="370">
        <f>H20</f>
        <v>10</v>
      </c>
      <c r="AC20" s="433">
        <f>Stammdaten!A11</f>
        <v>11</v>
      </c>
      <c r="AD20" s="434" t="str">
        <f>Stammdaten!C11</f>
        <v>Glasmatte 150 g/m²</v>
      </c>
      <c r="AE20" s="432"/>
      <c r="AF20" s="432"/>
      <c r="AG20" s="435"/>
      <c r="AH20" s="436">
        <v>22</v>
      </c>
      <c r="AI20" s="437">
        <v>22</v>
      </c>
      <c r="AJ20" s="435"/>
      <c r="AK20" s="435"/>
      <c r="AL20" s="435"/>
      <c r="AM20" s="434"/>
      <c r="AN20" s="432"/>
      <c r="AO20" s="51">
        <f>COUNTIF($B$20:$B$59,AC20)</f>
        <v>0</v>
      </c>
      <c r="AP20" s="51">
        <f>SUMIF($B$20:$B$38,AC20,$Q$20:$Q$38)</f>
        <v>0</v>
      </c>
    </row>
    <row r="21" spans="1:42" s="50" customFormat="1" ht="18" customHeight="1">
      <c r="A21" s="334">
        <f>A20+1</f>
        <v>2</v>
      </c>
      <c r="B21" s="466">
        <v>23</v>
      </c>
      <c r="C21" s="336" t="str">
        <f>IF(ISNA(VLOOKUP(B21,Stammdaten!$A$11:$C$59,$C$17,0)),"",(VLOOKUP(B21,Stammdaten!$A$11:$C$59,$C$17,0)))</f>
        <v>Formen reinigen</v>
      </c>
      <c r="D21" s="464"/>
      <c r="E21" s="369">
        <f>IF(ISNA(VLOOKUP($B21,Stammdaten!$A$11:$S$59,E$17,0)),"",VLOOKUP($B21,Stammdaten!$A$11:$S$59,E$17,0))</f>
        <v>3</v>
      </c>
      <c r="F21" s="371">
        <f>IF(ISNA(VLOOKUP($B21,Stammdaten!$A$11:$S$59,F$17,0)),"",VLOOKUP($B21,Stammdaten!$A$11:$S$59,F$17,0))</f>
        <v>3.2</v>
      </c>
      <c r="G21" s="372">
        <f>IF(ISNA(VLOOKUP($B21,Stammdaten!$A$11:$S$59,G$17,0)),"",VLOOKUP($B21,Stammdaten!$A$11:$S$59,G$17,0))</f>
        <v>5</v>
      </c>
      <c r="H21" s="373">
        <f t="shared" ref="H21:H59" si="2">IF(SUM(F21:G21)=0,"",MROUND(SUM(F21:G21),10))</f>
        <v>10</v>
      </c>
      <c r="I21" s="251">
        <f t="shared" si="0"/>
        <v>5.833333333333333</v>
      </c>
      <c r="J21" s="252">
        <f>IF(ISNA(VLOOKUP($B21,Stammdaten!$A$11:$S$59,J$17,0)),"",VLOOKUP($B21,Stammdaten!$A$11:$S$59,J$17,0))</f>
        <v>1</v>
      </c>
      <c r="K21" s="252">
        <f>IF(ISNA(VLOOKUP($B21,Stammdaten!$A$11:$S$59,K$17,0)),"",VLOOKUP($B21,Stammdaten!$A$11:$S$59,K$17,0)*Fläche)</f>
        <v>2.2400000000000002</v>
      </c>
      <c r="L21" s="252">
        <f>IF(ISNA(VLOOKUP($B21,Stammdaten!$A$11:$S$59,L$17,0)),"",VLOOKUP($B21,Stammdaten!$A$11:$S$59,L$17,0)/1000*$A$3*Fläche)</f>
        <v>0</v>
      </c>
      <c r="M21" s="252">
        <f t="shared" ref="M21:M59" si="3">IF(SUM(J21:L21)=0,"",SUM(J21:L21))</f>
        <v>3.24</v>
      </c>
      <c r="N21" s="253">
        <f>IF(ISNA(VLOOKUP($B21,Stammdaten!$A$11:$S$59,N$17,0)),"",VLOOKUP($B21,Stammdaten!$A$11:$S$59,N$17,0))</f>
        <v>0.2</v>
      </c>
      <c r="O21" s="252">
        <f>IF(ISNA(VLOOKUP($B21,Stammdaten!$A$11:$S$59,O$17,0)),"",VLOOKUP($B21,Stammdaten!$A$11:$S$59,O$17,1)*Fläche)</f>
        <v>0</v>
      </c>
      <c r="P21" s="69">
        <f>IF(ISNA(VLOOKUP($B21,Stammdaten!$A$11:$S$59,P$17,0)),"",VLOOKUP($B21,Stammdaten!$A$11:$S$59,P$17,0))</f>
        <v>0</v>
      </c>
      <c r="Q21" s="70">
        <f>IF(ISNA(VLOOKUP($B21,Stammdaten!$A$11:$S$59,Q$17,0)),"",VLOOKUP($B21,Stammdaten!$A$11:$S$59,Q$17,0)*Fläche/1000)</f>
        <v>0</v>
      </c>
      <c r="R21" s="70">
        <f>IF(ISNA(VLOOKUP($B21,Stammdaten!$A$11:$S$59,R$17,0)),"",VLOOKUP($B21,Stammdaten!$A$11:$S$59,R$17,0)*Fläche/1000)</f>
        <v>0</v>
      </c>
      <c r="S21" s="70">
        <f>IF(ISNA(VLOOKUP($B21,Stammdaten!$A$11:$S$59,S$17,0)),"",VLOOKUP($B21,Stammdaten!$A$11:$S$59,S$17,0)*Fläche)</f>
        <v>0</v>
      </c>
      <c r="T21" s="250" t="str">
        <f>IF(ISNA(VLOOKUP($B21,Stammdaten!$A$11:$S$59,T$17,0)),"",VLOOKUP($B21,Stammdaten!$A$11:$S$59,T$17,0))</f>
        <v>FV-000 Formvorbereitung</v>
      </c>
      <c r="U21" s="280" t="str">
        <f t="shared" si="1"/>
        <v/>
      </c>
      <c r="V21" s="281" t="str">
        <f>IF(OR(B21=25,B21=26),Ablauf!$D$5,"")</f>
        <v/>
      </c>
      <c r="W21" s="281" t="str">
        <f>IF(OR(B21=25,B21=26),Ablauf!S21,"")</f>
        <v/>
      </c>
      <c r="X21" s="281" t="str">
        <f>IF(OR(B21=33,B21=34),Ablauf!$D$7,"")</f>
        <v/>
      </c>
      <c r="Y21" s="281" t="str">
        <f>IF(OR(B21=33,B21=34),Ablauf!S21,"")</f>
        <v/>
      </c>
      <c r="Z21" s="282" t="str">
        <f t="shared" ref="Z21:Z59" si="4">IF(OR(B21=31,B21=32),ROUND(SUM($S$20:$S$59),2),"")</f>
        <v/>
      </c>
      <c r="AA21" s="370">
        <f t="shared" ref="AA21:AA59" si="5">H21</f>
        <v>10</v>
      </c>
      <c r="AC21" s="433">
        <f>Stammdaten!A12</f>
        <v>12</v>
      </c>
      <c r="AD21" s="434" t="str">
        <f>Stammdaten!C12</f>
        <v>Glasmatte 225 g/m²</v>
      </c>
      <c r="AE21" s="432"/>
      <c r="AF21" s="432"/>
      <c r="AG21" s="435"/>
      <c r="AH21" s="436">
        <v>23</v>
      </c>
      <c r="AI21" s="437">
        <v>23</v>
      </c>
      <c r="AJ21" s="435"/>
      <c r="AK21" s="435"/>
      <c r="AL21" s="435"/>
      <c r="AM21" s="434"/>
      <c r="AN21" s="432"/>
      <c r="AO21" s="51">
        <f>COUNTIF($B$20:$B$59,AC21)</f>
        <v>0</v>
      </c>
      <c r="AP21" s="51">
        <f>SUMIF($B$20:$B$38,AC21,$Q$20:$Q$38)</f>
        <v>0</v>
      </c>
    </row>
    <row r="22" spans="1:42" s="50" customFormat="1" ht="18" customHeight="1">
      <c r="A22" s="334">
        <f t="shared" ref="A22:A34" si="6">A21+1</f>
        <v>3</v>
      </c>
      <c r="B22" s="466">
        <v>24</v>
      </c>
      <c r="C22" s="336" t="str">
        <f>IF(ISNA(VLOOKUP(B22,Stammdaten!$A$11:$C$59,$C$17,0)),"",(VLOOKUP(B22,Stammdaten!$A$11:$C$59,$C$17,0)))</f>
        <v>Formen eintrennen u. polieren</v>
      </c>
      <c r="D22" s="464"/>
      <c r="E22" s="369">
        <f>IF(ISNA(VLOOKUP($B22,Stammdaten!$A$11:$S$59,E$17,0)),"",VLOOKUP($B22,Stammdaten!$A$11:$S$59,E$17,0))</f>
        <v>3</v>
      </c>
      <c r="F22" s="371">
        <f>IF(ISNA(VLOOKUP($B22,Stammdaten!$A$11:$S$59,F$17,0)),"",VLOOKUP($B22,Stammdaten!$A$11:$S$59,F$17,0))</f>
        <v>4.8000000000000007</v>
      </c>
      <c r="G22" s="372">
        <f>IF(ISNA(VLOOKUP($B22,Stammdaten!$A$11:$S$59,G$17,0)),"",VLOOKUP($B22,Stammdaten!$A$11:$S$59,G$17,0))</f>
        <v>5</v>
      </c>
      <c r="H22" s="373">
        <f t="shared" si="2"/>
        <v>10</v>
      </c>
      <c r="I22" s="251">
        <f t="shared" si="0"/>
        <v>5.833333333333333</v>
      </c>
      <c r="J22" s="252">
        <f>IF(ISNA(VLOOKUP($B22,Stammdaten!$A$11:$S$59,J$17,0)),"",VLOOKUP($B22,Stammdaten!$A$11:$S$59,J$17,0))</f>
        <v>0.5</v>
      </c>
      <c r="K22" s="252">
        <f>IF(ISNA(VLOOKUP($B22,Stammdaten!$A$11:$S$59,K$17,0)),"",VLOOKUP($B22,Stammdaten!$A$11:$S$59,K$17,0)*Fläche)</f>
        <v>0.32000000000000006</v>
      </c>
      <c r="L22" s="252">
        <f>IF(ISNA(VLOOKUP($B22,Stammdaten!$A$11:$S$59,L$17,0)),"",VLOOKUP($B22,Stammdaten!$A$11:$S$59,L$17,0)/1000*$A$3*Fläche)</f>
        <v>0</v>
      </c>
      <c r="M22" s="252">
        <f t="shared" si="3"/>
        <v>0.82000000000000006</v>
      </c>
      <c r="N22" s="253">
        <f>IF(ISNA(VLOOKUP($B22,Stammdaten!$A$11:$S$59,N$17,0)),"",VLOOKUP($B22,Stammdaten!$A$11:$S$59,N$17,0))</f>
        <v>0.2</v>
      </c>
      <c r="O22" s="252">
        <f>IF(ISNA(VLOOKUP($B22,Stammdaten!$A$11:$S$59,O$17,0)),"",VLOOKUP($B22,Stammdaten!$A$11:$S$59,O$17,1)*Fläche)</f>
        <v>0</v>
      </c>
      <c r="P22" s="69">
        <f>IF(ISNA(VLOOKUP($B22,Stammdaten!$A$11:$S$59,P$17,0)),"",VLOOKUP($B22,Stammdaten!$A$11:$S$59,P$17,0))</f>
        <v>0</v>
      </c>
      <c r="Q22" s="70">
        <f>IF(ISNA(VLOOKUP($B22,Stammdaten!$A$11:$S$59,Q$17,0)),"",VLOOKUP($B22,Stammdaten!$A$11:$S$59,Q$17,0)*Fläche/1000)</f>
        <v>0</v>
      </c>
      <c r="R22" s="70">
        <f>IF(ISNA(VLOOKUP($B22,Stammdaten!$A$11:$S$59,R$17,0)),"",VLOOKUP($B22,Stammdaten!$A$11:$S$59,R$17,0)*Fläche/1000)</f>
        <v>0</v>
      </c>
      <c r="S22" s="70">
        <f>IF(ISNA(VLOOKUP($B22,Stammdaten!$A$11:$S$59,S$17,0)),"",VLOOKUP($B22,Stammdaten!$A$11:$S$59,S$17,0)*Fläche)</f>
        <v>0</v>
      </c>
      <c r="T22" s="250" t="str">
        <f>IF(ISNA(VLOOKUP($B22,Stammdaten!$A$11:$S$59,T$17,0)),"",VLOOKUP($B22,Stammdaten!$A$11:$S$59,T$17,0))</f>
        <v>FV-000 Formvorbereitung</v>
      </c>
      <c r="U22" s="280" t="str">
        <f t="shared" si="1"/>
        <v/>
      </c>
      <c r="V22" s="281" t="str">
        <f>IF(OR(B22=25,B22=26),Ablauf!$D$5,"")</f>
        <v/>
      </c>
      <c r="W22" s="281" t="str">
        <f>IF(OR(B22=25,B22=26),Ablauf!S22,"")</f>
        <v/>
      </c>
      <c r="X22" s="281" t="str">
        <f>IF(OR(B22=33,B22=34),Ablauf!$D$7,"")</f>
        <v/>
      </c>
      <c r="Y22" s="281" t="str">
        <f>IF(OR(B22=33,B22=34),Ablauf!S22,"")</f>
        <v/>
      </c>
      <c r="Z22" s="282" t="str">
        <f t="shared" si="4"/>
        <v/>
      </c>
      <c r="AA22" s="370">
        <f t="shared" si="5"/>
        <v>10</v>
      </c>
      <c r="AC22" s="433">
        <f>Stammdaten!A13</f>
        <v>13</v>
      </c>
      <c r="AD22" s="434" t="str">
        <f>Stammdaten!C13</f>
        <v>Glasmatte 300 g/m²</v>
      </c>
      <c r="AE22" s="432"/>
      <c r="AF22" s="432"/>
      <c r="AG22" s="435"/>
      <c r="AH22" s="436">
        <v>24</v>
      </c>
      <c r="AI22" s="437">
        <v>24</v>
      </c>
      <c r="AJ22" s="435"/>
      <c r="AK22" s="435"/>
      <c r="AL22" s="435"/>
      <c r="AM22" s="434"/>
      <c r="AN22" s="432"/>
      <c r="AO22" s="51">
        <f>COUNTIF($B$20:$B$59,AC22)</f>
        <v>0</v>
      </c>
      <c r="AP22" s="51">
        <f>SUMIF($B$20:$B$38,AC22,$Q$20:$Q$38)</f>
        <v>0</v>
      </c>
    </row>
    <row r="23" spans="1:42" s="50" customFormat="1" ht="18" customHeight="1">
      <c r="A23" s="334">
        <f t="shared" si="6"/>
        <v>4</v>
      </c>
      <c r="B23" s="466">
        <v>25</v>
      </c>
      <c r="C23" s="336" t="str">
        <f>IF(ISNA(VLOOKUP(B23,Stammdaten!$A$11:$C$59,$C$17,0)),"",(VLOOKUP(B23,Stammdaten!$A$11:$C$59,$C$17,0)))</f>
        <v>Gelcoat spritzen</v>
      </c>
      <c r="D23" s="464"/>
      <c r="E23" s="369">
        <f>IF(ISNA(VLOOKUP($B23,Stammdaten!$A$11:$S$59,E$17,0)),"",VLOOKUP($B23,Stammdaten!$A$11:$S$59,E$17,0))</f>
        <v>3</v>
      </c>
      <c r="F23" s="371">
        <f>IF(ISNA(VLOOKUP($B23,Stammdaten!$A$11:$S$59,F$17,0)),"",VLOOKUP($B23,Stammdaten!$A$11:$S$59,F$17,0))</f>
        <v>3.2</v>
      </c>
      <c r="G23" s="372">
        <f>IF(ISNA(VLOOKUP($B23,Stammdaten!$A$11:$S$59,G$17,0)),"",VLOOKUP($B23,Stammdaten!$A$11:$S$59,G$17,0))</f>
        <v>7</v>
      </c>
      <c r="H23" s="373">
        <f t="shared" si="2"/>
        <v>10</v>
      </c>
      <c r="I23" s="251">
        <f t="shared" si="0"/>
        <v>5.833333333333333</v>
      </c>
      <c r="J23" s="252">
        <f>IF(ISNA(VLOOKUP($B23,Stammdaten!$A$11:$S$59,J$17,0)),"",VLOOKUP($B23,Stammdaten!$A$11:$S$59,J$17,0))</f>
        <v>0.5</v>
      </c>
      <c r="K23" s="252">
        <f>IF(ISNA(VLOOKUP($B23,Stammdaten!$A$11:$S$59,K$17,0)),"",VLOOKUP($B23,Stammdaten!$A$11:$S$59,K$17,0)*Fläche)</f>
        <v>3.2640000000000002</v>
      </c>
      <c r="L23" s="252">
        <f>IF(ISNA(VLOOKUP($B23,Stammdaten!$A$11:$S$59,L$17,0)),"",VLOOKUP($B23,Stammdaten!$A$11:$S$59,L$17,0)/1000*$A$3*Fläche)</f>
        <v>0</v>
      </c>
      <c r="M23" s="252">
        <f t="shared" si="3"/>
        <v>3.7640000000000002</v>
      </c>
      <c r="N23" s="253">
        <f>IF(ISNA(VLOOKUP($B23,Stammdaten!$A$11:$S$59,N$17,0)),"",VLOOKUP($B23,Stammdaten!$A$11:$S$59,N$17,0))</f>
        <v>5</v>
      </c>
      <c r="O23" s="252">
        <f>IF(ISNA(VLOOKUP($B23,Stammdaten!$A$11:$S$59,O$17,0)),"",VLOOKUP($B23,Stammdaten!$A$11:$S$59,O$17,1)*Fläche)</f>
        <v>1.2800000000000002</v>
      </c>
      <c r="P23" s="69">
        <f>IF(ISNA(VLOOKUP($B23,Stammdaten!$A$11:$S$59,P$17,0)),"",VLOOKUP($B23,Stammdaten!$A$11:$S$59,P$17,0))</f>
        <v>0.3</v>
      </c>
      <c r="Q23" s="70">
        <f>IF(ISNA(VLOOKUP($B23,Stammdaten!$A$11:$S$59,Q$17,0)),"",VLOOKUP($B23,Stammdaten!$A$11:$S$59,Q$17,0)*Fläche/1000)</f>
        <v>0</v>
      </c>
      <c r="R23" s="70">
        <f>IF(ISNA(VLOOKUP($B23,Stammdaten!$A$11:$S$59,R$17,0)),"",VLOOKUP($B23,Stammdaten!$A$11:$S$59,R$17,0)*Fläche/1000)</f>
        <v>0</v>
      </c>
      <c r="S23" s="70">
        <f>IF(ISNA(VLOOKUP($B23,Stammdaten!$A$11:$S$59,S$17,0)),"",VLOOKUP($B23,Stammdaten!$A$11:$S$59,S$17,0)*Fläche)</f>
        <v>0.64000000000000012</v>
      </c>
      <c r="T23" s="250" t="str">
        <f>IF(ISNA(VLOOKUP($B23,Stammdaten!$A$11:$S$59,T$17,0)),"",VLOOKUP($B23,Stammdaten!$A$11:$S$59,T$17,0))</f>
        <v>CO-000 Coating</v>
      </c>
      <c r="U23" s="280" t="str">
        <f t="shared" si="1"/>
        <v/>
      </c>
      <c r="V23" s="281" t="str">
        <f>IF(OR(B23=25,B23=26),Ablauf!$D$5,"")</f>
        <v>RAL 7218</v>
      </c>
      <c r="W23" s="281">
        <f>IF(OR(B23=25,B23=26),Ablauf!S23,"")</f>
        <v>0.64000000000000012</v>
      </c>
      <c r="X23" s="281" t="str">
        <f>IF(OR(B23=33,B23=34),Ablauf!$D$7,"")</f>
        <v/>
      </c>
      <c r="Y23" s="281" t="str">
        <f>IF(OR(B23=33,B23=34),Ablauf!S23,"")</f>
        <v/>
      </c>
      <c r="Z23" s="282" t="str">
        <f t="shared" si="4"/>
        <v/>
      </c>
      <c r="AA23" s="370">
        <f t="shared" si="5"/>
        <v>10</v>
      </c>
      <c r="AC23" s="433">
        <f>Stammdaten!A14</f>
        <v>14</v>
      </c>
      <c r="AD23" s="434" t="str">
        <f>Stammdaten!C14</f>
        <v>Glasmatte 450 g/m²</v>
      </c>
      <c r="AE23" s="432"/>
      <c r="AF23" s="432"/>
      <c r="AG23" s="435"/>
      <c r="AH23" s="436">
        <v>26</v>
      </c>
      <c r="AI23" s="437">
        <v>25</v>
      </c>
      <c r="AJ23" s="435"/>
      <c r="AK23" s="435"/>
      <c r="AL23" s="435"/>
      <c r="AM23" s="434"/>
      <c r="AN23" s="432"/>
      <c r="AO23" s="51">
        <f>COUNTIF($B$20:$B$59,AC30)+COUNTIF($B$20:$B$59,AC23)</f>
        <v>8</v>
      </c>
      <c r="AP23" s="51">
        <f>SUMIF($B$20:$B$38,AC30,$Q$20:$Q$38)+SUMIF($B$20:$B$38,AC23,$Q$20:$Q$38)</f>
        <v>5.7599999999999989</v>
      </c>
    </row>
    <row r="24" spans="1:42" s="50" customFormat="1" ht="18" customHeight="1">
      <c r="A24" s="334">
        <f t="shared" si="6"/>
        <v>5</v>
      </c>
      <c r="B24" s="466">
        <v>21</v>
      </c>
      <c r="C24" s="336" t="str">
        <f>IF(ISNA(VLOOKUP(B24,Stammdaten!$A$11:$C$59,$C$17,0)),"",(VLOOKUP(B24,Stammdaten!$A$11:$C$59,$C$17,0)))</f>
        <v>Formbau 450 g/m²</v>
      </c>
      <c r="D24" s="464"/>
      <c r="E24" s="369">
        <f>IF(ISNA(VLOOKUP($B24,Stammdaten!$A$11:$S$59,E$17,0)),"",VLOOKUP($B24,Stammdaten!$A$11:$S$59,E$17,0))</f>
        <v>3</v>
      </c>
      <c r="F24" s="371">
        <f>IF(ISNA(VLOOKUP($B24,Stammdaten!$A$11:$S$59,F$17,0)),"",VLOOKUP($B24,Stammdaten!$A$11:$S$59,F$17,0))</f>
        <v>24</v>
      </c>
      <c r="G24" s="372">
        <f>IF(ISNA(VLOOKUP($B24,Stammdaten!$A$11:$S$59,G$17,0)),"",VLOOKUP($B24,Stammdaten!$A$11:$S$59,G$17,0))</f>
        <v>10</v>
      </c>
      <c r="H24" s="373">
        <f t="shared" si="2"/>
        <v>30</v>
      </c>
      <c r="I24" s="251">
        <f t="shared" si="0"/>
        <v>17.5</v>
      </c>
      <c r="J24" s="252">
        <f>IF(ISNA(VLOOKUP($B24,Stammdaten!$A$11:$S$59,J$17,0)),"",VLOOKUP($B24,Stammdaten!$A$11:$S$59,J$17,0))</f>
        <v>4</v>
      </c>
      <c r="K24" s="252">
        <f>IF(ISNA(VLOOKUP($B24,Stammdaten!$A$11:$S$59,K$17,0)),"",VLOOKUP($B24,Stammdaten!$A$11:$S$59,K$17,0)*Fläche)</f>
        <v>1.552</v>
      </c>
      <c r="L24" s="252">
        <f>IF(ISNA(VLOOKUP($B24,Stammdaten!$A$11:$S$59,L$17,0)),"",VLOOKUP($B24,Stammdaten!$A$11:$S$59,L$17,0)/1000*$A$3*Fläche)</f>
        <v>3.0136028676923061</v>
      </c>
      <c r="M24" s="252">
        <f t="shared" si="3"/>
        <v>8.5656028676923057</v>
      </c>
      <c r="N24" s="253">
        <f>IF(ISNA(VLOOKUP($B24,Stammdaten!$A$11:$S$59,N$17,0)),"",VLOOKUP($B24,Stammdaten!$A$11:$S$59,N$17,0))</f>
        <v>0</v>
      </c>
      <c r="O24" s="252">
        <f>IF(ISNA(VLOOKUP($B24,Stammdaten!$A$11:$S$59,O$17,0)),"",VLOOKUP($B24,Stammdaten!$A$11:$S$59,O$17,1)*Fläche)</f>
        <v>0.8</v>
      </c>
      <c r="P24" s="69">
        <f>IF(ISNA(VLOOKUP($B24,Stammdaten!$A$11:$S$59,P$17,0)),"",VLOOKUP($B24,Stammdaten!$A$11:$S$59,P$17,0))</f>
        <v>1.2</v>
      </c>
      <c r="Q24" s="70">
        <f>IF(ISNA(VLOOKUP($B24,Stammdaten!$A$11:$S$59,Q$17,0)),"",VLOOKUP($B24,Stammdaten!$A$11:$S$59,Q$17,0)*Fläche/1000)</f>
        <v>0.72</v>
      </c>
      <c r="R24" s="70">
        <f>IF(ISNA(VLOOKUP($B24,Stammdaten!$A$11:$S$59,R$17,0)),"",VLOOKUP($B24,Stammdaten!$A$11:$S$59,R$17,0)*Fläche/1000)</f>
        <v>1.3934769230769226</v>
      </c>
      <c r="S24" s="70">
        <f>IF(ISNA(VLOOKUP($B24,Stammdaten!$A$11:$S$59,S$17,0)),"",VLOOKUP($B24,Stammdaten!$A$11:$S$59,S$17,0)*Fläche)</f>
        <v>2.1134769230769228</v>
      </c>
      <c r="T24" s="250" t="str">
        <f>IF(ISNA(VLOOKUP($B24,Stammdaten!$A$11:$S$59,T$17,0)),"",VLOOKUP($B24,Stammdaten!$A$11:$S$59,T$17,0))</f>
        <v>FO-000 Formbau</v>
      </c>
      <c r="U24" s="280" t="str">
        <f t="shared" si="1"/>
        <v/>
      </c>
      <c r="V24" s="281" t="str">
        <f>IF(OR(B24=25,B24=26),Ablauf!$D$5,"")</f>
        <v/>
      </c>
      <c r="W24" s="281" t="str">
        <f>IF(OR(B24=25,B24=26),Ablauf!S24,"")</f>
        <v/>
      </c>
      <c r="X24" s="281" t="str">
        <f>IF(OR(B24=33,B24=34),Ablauf!$D$7,"")</f>
        <v/>
      </c>
      <c r="Y24" s="281" t="str">
        <f>IF(OR(B24=33,B24=34),Ablauf!S24,"")</f>
        <v/>
      </c>
      <c r="Z24" s="282" t="str">
        <f t="shared" si="4"/>
        <v/>
      </c>
      <c r="AA24" s="370">
        <f t="shared" si="5"/>
        <v>30</v>
      </c>
      <c r="AC24" s="433">
        <f>Stammdaten!A15</f>
        <v>15</v>
      </c>
      <c r="AD24" s="434" t="str">
        <f>Stammdaten!C15</f>
        <v>Glasgewebe 300 g/m²</v>
      </c>
      <c r="AE24" s="432"/>
      <c r="AF24" s="432"/>
      <c r="AG24" s="435"/>
      <c r="AH24" s="436">
        <v>13</v>
      </c>
      <c r="AI24" s="437">
        <v>21</v>
      </c>
      <c r="AJ24" s="435"/>
      <c r="AK24" s="435"/>
      <c r="AL24" s="435"/>
      <c r="AM24" s="434"/>
      <c r="AN24" s="432"/>
      <c r="AO24" s="51">
        <f t="shared" ref="AO24:AO29" si="7">COUNTIF($B$20:$B$59,AC24)</f>
        <v>0</v>
      </c>
      <c r="AP24" s="51">
        <f t="shared" ref="AP24:AP29" si="8">SUMIF($B$20:$B$38,AC24,$Q$20:$Q$38)</f>
        <v>0</v>
      </c>
    </row>
    <row r="25" spans="1:42" s="50" customFormat="1" ht="18" customHeight="1">
      <c r="A25" s="334">
        <f t="shared" si="6"/>
        <v>6</v>
      </c>
      <c r="B25" s="466">
        <v>21</v>
      </c>
      <c r="C25" s="336" t="str">
        <f>IF(ISNA(VLOOKUP(B25,Stammdaten!$A$11:$C$59,$C$17,0)),"",(VLOOKUP(B25,Stammdaten!$A$11:$C$59,$C$17,0)))</f>
        <v>Formbau 450 g/m²</v>
      </c>
      <c r="D25" s="464"/>
      <c r="E25" s="369">
        <f>IF(ISNA(VLOOKUP($B25,Stammdaten!$A$11:$S$59,E$17,0)),"",VLOOKUP($B25,Stammdaten!$A$11:$S$59,E$17,0))</f>
        <v>3</v>
      </c>
      <c r="F25" s="371">
        <f>IF(ISNA(VLOOKUP($B25,Stammdaten!$A$11:$S$59,F$17,0)),"",VLOOKUP($B25,Stammdaten!$A$11:$S$59,F$17,0))</f>
        <v>24</v>
      </c>
      <c r="G25" s="372">
        <f>IF(ISNA(VLOOKUP($B25,Stammdaten!$A$11:$S$59,G$17,0)),"",VLOOKUP($B25,Stammdaten!$A$11:$S$59,G$17,0))</f>
        <v>10</v>
      </c>
      <c r="H25" s="373">
        <f t="shared" si="2"/>
        <v>30</v>
      </c>
      <c r="I25" s="251">
        <f t="shared" si="0"/>
        <v>17.5</v>
      </c>
      <c r="J25" s="252">
        <f>IF(ISNA(VLOOKUP($B25,Stammdaten!$A$11:$S$59,J$17,0)),"",VLOOKUP($B25,Stammdaten!$A$11:$S$59,J$17,0))</f>
        <v>4</v>
      </c>
      <c r="K25" s="252">
        <f>IF(ISNA(VLOOKUP($B25,Stammdaten!$A$11:$S$59,K$17,0)),"",VLOOKUP($B25,Stammdaten!$A$11:$S$59,K$17,0)*Fläche)</f>
        <v>1.552</v>
      </c>
      <c r="L25" s="252">
        <f>IF(ISNA(VLOOKUP($B25,Stammdaten!$A$11:$S$59,L$17,0)),"",VLOOKUP($B25,Stammdaten!$A$11:$S$59,L$17,0)/1000*$A$3*Fläche)</f>
        <v>3.0136028676923061</v>
      </c>
      <c r="M25" s="252">
        <f t="shared" si="3"/>
        <v>8.5656028676923057</v>
      </c>
      <c r="N25" s="253">
        <f>IF(ISNA(VLOOKUP($B25,Stammdaten!$A$11:$S$59,N$17,0)),"",VLOOKUP($B25,Stammdaten!$A$11:$S$59,N$17,0))</f>
        <v>0</v>
      </c>
      <c r="O25" s="252">
        <f>IF(ISNA(VLOOKUP($B25,Stammdaten!$A$11:$S$59,O$17,0)),"",VLOOKUP($B25,Stammdaten!$A$11:$S$59,O$17,1)*Fläche)</f>
        <v>0.8</v>
      </c>
      <c r="P25" s="69">
        <f>IF(ISNA(VLOOKUP($B25,Stammdaten!$A$11:$S$59,P$17,0)),"",VLOOKUP($B25,Stammdaten!$A$11:$S$59,P$17,0))</f>
        <v>1.2</v>
      </c>
      <c r="Q25" s="70">
        <f>IF(ISNA(VLOOKUP($B25,Stammdaten!$A$11:$S$59,Q$17,0)),"",VLOOKUP($B25,Stammdaten!$A$11:$S$59,Q$17,0)*Fläche/1000)</f>
        <v>0.72</v>
      </c>
      <c r="R25" s="70">
        <f>IF(ISNA(VLOOKUP($B25,Stammdaten!$A$11:$S$59,R$17,0)),"",VLOOKUP($B25,Stammdaten!$A$11:$S$59,R$17,0)*Fläche/1000)</f>
        <v>1.3934769230769226</v>
      </c>
      <c r="S25" s="70">
        <f>IF(ISNA(VLOOKUP($B25,Stammdaten!$A$11:$S$59,S$17,0)),"",VLOOKUP($B25,Stammdaten!$A$11:$S$59,S$17,0)*Fläche)</f>
        <v>2.1134769230769228</v>
      </c>
      <c r="T25" s="250" t="str">
        <f>IF(ISNA(VLOOKUP($B25,Stammdaten!$A$11:$S$59,T$17,0)),"",VLOOKUP($B25,Stammdaten!$A$11:$S$59,T$17,0))</f>
        <v>FO-000 Formbau</v>
      </c>
      <c r="U25" s="280" t="str">
        <f t="shared" si="1"/>
        <v/>
      </c>
      <c r="V25" s="281" t="str">
        <f>IF(OR(B25=25,B25=26),Ablauf!$D$5,"")</f>
        <v/>
      </c>
      <c r="W25" s="281" t="str">
        <f>IF(OR(B25=25,B25=26),Ablauf!S25,"")</f>
        <v/>
      </c>
      <c r="X25" s="281" t="str">
        <f>IF(OR(B25=33,B25=34),Ablauf!$D$7,"")</f>
        <v/>
      </c>
      <c r="Y25" s="281" t="str">
        <f>IF(OR(B25=33,B25=34),Ablauf!S25,"")</f>
        <v/>
      </c>
      <c r="Z25" s="282" t="str">
        <f t="shared" si="4"/>
        <v/>
      </c>
      <c r="AA25" s="370">
        <f t="shared" si="5"/>
        <v>30</v>
      </c>
      <c r="AC25" s="433">
        <f>Stammdaten!A16</f>
        <v>16</v>
      </c>
      <c r="AD25" s="434" t="str">
        <f>Stammdaten!C16</f>
        <v>Glasgewebe 580 g/m²</v>
      </c>
      <c r="AE25" s="432"/>
      <c r="AF25" s="432"/>
      <c r="AG25" s="435"/>
      <c r="AH25" s="436">
        <v>13</v>
      </c>
      <c r="AI25" s="437">
        <v>21</v>
      </c>
      <c r="AJ25" s="435"/>
      <c r="AK25" s="435"/>
      <c r="AL25" s="435"/>
      <c r="AM25" s="434"/>
      <c r="AN25" s="432"/>
      <c r="AO25" s="51">
        <f t="shared" si="7"/>
        <v>0</v>
      </c>
      <c r="AP25" s="51">
        <f t="shared" si="8"/>
        <v>0</v>
      </c>
    </row>
    <row r="26" spans="1:42" s="50" customFormat="1" ht="18" customHeight="1">
      <c r="A26" s="334">
        <f t="shared" si="6"/>
        <v>7</v>
      </c>
      <c r="B26" s="466">
        <v>21</v>
      </c>
      <c r="C26" s="336" t="str">
        <f>IF(ISNA(VLOOKUP(B26,Stammdaten!$A$11:$C$59,$C$17,0)),"",(VLOOKUP(B26,Stammdaten!$A$11:$C$59,$C$17,0)))</f>
        <v>Formbau 450 g/m²</v>
      </c>
      <c r="D26" s="464"/>
      <c r="E26" s="369">
        <f>IF(ISNA(VLOOKUP($B26,Stammdaten!$A$11:$S$59,E$17,0)),"",VLOOKUP($B26,Stammdaten!$A$11:$S$59,E$17,0))</f>
        <v>3</v>
      </c>
      <c r="F26" s="371">
        <f>IF(ISNA(VLOOKUP($B26,Stammdaten!$A$11:$S$59,F$17,0)),"",VLOOKUP($B26,Stammdaten!$A$11:$S$59,F$17,0))</f>
        <v>24</v>
      </c>
      <c r="G26" s="372">
        <f>IF(ISNA(VLOOKUP($B26,Stammdaten!$A$11:$S$59,G$17,0)),"",VLOOKUP($B26,Stammdaten!$A$11:$S$59,G$17,0))</f>
        <v>10</v>
      </c>
      <c r="H26" s="373">
        <f t="shared" si="2"/>
        <v>30</v>
      </c>
      <c r="I26" s="251">
        <f t="shared" si="0"/>
        <v>17.5</v>
      </c>
      <c r="J26" s="252">
        <f>IF(ISNA(VLOOKUP($B26,Stammdaten!$A$11:$S$59,J$17,0)),"",VLOOKUP($B26,Stammdaten!$A$11:$S$59,J$17,0))</f>
        <v>4</v>
      </c>
      <c r="K26" s="252">
        <f>IF(ISNA(VLOOKUP($B26,Stammdaten!$A$11:$S$59,K$17,0)),"",VLOOKUP($B26,Stammdaten!$A$11:$S$59,K$17,0)*Fläche)</f>
        <v>1.552</v>
      </c>
      <c r="L26" s="252">
        <f>IF(ISNA(VLOOKUP($B26,Stammdaten!$A$11:$S$59,L$17,0)),"",VLOOKUP($B26,Stammdaten!$A$11:$S$59,L$17,0)/1000*$A$3*Fläche)</f>
        <v>3.0136028676923061</v>
      </c>
      <c r="M26" s="252">
        <f t="shared" si="3"/>
        <v>8.5656028676923057</v>
      </c>
      <c r="N26" s="253">
        <f>IF(ISNA(VLOOKUP($B26,Stammdaten!$A$11:$S$59,N$17,0)),"",VLOOKUP($B26,Stammdaten!$A$11:$S$59,N$17,0))</f>
        <v>0</v>
      </c>
      <c r="O26" s="252">
        <f>IF(ISNA(VLOOKUP($B26,Stammdaten!$A$11:$S$59,O$17,0)),"",VLOOKUP($B26,Stammdaten!$A$11:$S$59,O$17,1)*Fläche)</f>
        <v>0.8</v>
      </c>
      <c r="P26" s="69">
        <f>IF(ISNA(VLOOKUP($B26,Stammdaten!$A$11:$S$59,P$17,0)),"",VLOOKUP($B26,Stammdaten!$A$11:$S$59,P$17,0))</f>
        <v>1.2</v>
      </c>
      <c r="Q26" s="70">
        <f>IF(ISNA(VLOOKUP($B26,Stammdaten!$A$11:$S$59,Q$17,0)),"",VLOOKUP($B26,Stammdaten!$A$11:$S$59,Q$17,0)*Fläche/1000)</f>
        <v>0.72</v>
      </c>
      <c r="R26" s="70">
        <f>IF(ISNA(VLOOKUP($B26,Stammdaten!$A$11:$S$59,R$17,0)),"",VLOOKUP($B26,Stammdaten!$A$11:$S$59,R$17,0)*Fläche/1000)</f>
        <v>1.3934769230769226</v>
      </c>
      <c r="S26" s="70">
        <f>IF(ISNA(VLOOKUP($B26,Stammdaten!$A$11:$S$59,S$17,0)),"",VLOOKUP($B26,Stammdaten!$A$11:$S$59,S$17,0)*Fläche)</f>
        <v>2.1134769230769228</v>
      </c>
      <c r="T26" s="250" t="str">
        <f>IF(ISNA(VLOOKUP($B26,Stammdaten!$A$11:$S$59,T$17,0)),"",VLOOKUP($B26,Stammdaten!$A$11:$S$59,T$17,0))</f>
        <v>FO-000 Formbau</v>
      </c>
      <c r="U26" s="280" t="str">
        <f t="shared" si="1"/>
        <v/>
      </c>
      <c r="V26" s="281" t="str">
        <f>IF(OR(B26=25,B26=26),Ablauf!$D$5,"")</f>
        <v/>
      </c>
      <c r="W26" s="281" t="str">
        <f>IF(OR(B26=25,B26=26),Ablauf!S26,"")</f>
        <v/>
      </c>
      <c r="X26" s="281" t="str">
        <f>IF(OR(B26=33,B26=34),Ablauf!$D$7,"")</f>
        <v/>
      </c>
      <c r="Y26" s="281" t="str">
        <f>IF(OR(B26=33,B26=34),Ablauf!S26,"")</f>
        <v/>
      </c>
      <c r="Z26" s="282" t="str">
        <f t="shared" si="4"/>
        <v/>
      </c>
      <c r="AA26" s="370">
        <f t="shared" si="5"/>
        <v>30</v>
      </c>
      <c r="AC26" s="433">
        <f>Stammdaten!A17</f>
        <v>17</v>
      </c>
      <c r="AD26" s="434" t="str">
        <f>Stammdaten!C17</f>
        <v>Glasgewebe 900 g/m²</v>
      </c>
      <c r="AE26" s="432"/>
      <c r="AF26" s="432"/>
      <c r="AG26" s="435"/>
      <c r="AH26" s="436">
        <v>13</v>
      </c>
      <c r="AI26" s="437">
        <v>21</v>
      </c>
      <c r="AJ26" s="435"/>
      <c r="AK26" s="435"/>
      <c r="AL26" s="435"/>
      <c r="AM26" s="434"/>
      <c r="AN26" s="432"/>
      <c r="AO26" s="51">
        <f t="shared" si="7"/>
        <v>0</v>
      </c>
      <c r="AP26" s="51">
        <f t="shared" si="8"/>
        <v>0</v>
      </c>
    </row>
    <row r="27" spans="1:42" s="50" customFormat="1" ht="18" customHeight="1">
      <c r="A27" s="334">
        <f t="shared" si="6"/>
        <v>8</v>
      </c>
      <c r="B27" s="466">
        <v>21</v>
      </c>
      <c r="C27" s="336" t="str">
        <f>IF(ISNA(VLOOKUP(B27,Stammdaten!$A$11:$C$59,$C$17,0)),"",(VLOOKUP(B27,Stammdaten!$A$11:$C$59,$C$17,0)))</f>
        <v>Formbau 450 g/m²</v>
      </c>
      <c r="D27" s="464"/>
      <c r="E27" s="369">
        <f>IF(ISNA(VLOOKUP($B27,Stammdaten!$A$11:$S$59,E$17,0)),"",VLOOKUP($B27,Stammdaten!$A$11:$S$59,E$17,0))</f>
        <v>3</v>
      </c>
      <c r="F27" s="371">
        <f>IF(ISNA(VLOOKUP($B27,Stammdaten!$A$11:$S$59,F$17,0)),"",VLOOKUP($B27,Stammdaten!$A$11:$S$59,F$17,0))</f>
        <v>24</v>
      </c>
      <c r="G27" s="372">
        <f>IF(ISNA(VLOOKUP($B27,Stammdaten!$A$11:$S$59,G$17,0)),"",VLOOKUP($B27,Stammdaten!$A$11:$S$59,G$17,0))</f>
        <v>10</v>
      </c>
      <c r="H27" s="373">
        <f t="shared" si="2"/>
        <v>30</v>
      </c>
      <c r="I27" s="251">
        <f t="shared" si="0"/>
        <v>17.5</v>
      </c>
      <c r="J27" s="252">
        <f>IF(ISNA(VLOOKUP($B27,Stammdaten!$A$11:$S$59,J$17,0)),"",VLOOKUP($B27,Stammdaten!$A$11:$S$59,J$17,0))</f>
        <v>4</v>
      </c>
      <c r="K27" s="252">
        <f>IF(ISNA(VLOOKUP($B27,Stammdaten!$A$11:$S$59,K$17,0)),"",VLOOKUP($B27,Stammdaten!$A$11:$S$59,K$17,0)*Fläche)</f>
        <v>1.552</v>
      </c>
      <c r="L27" s="252">
        <f>IF(ISNA(VLOOKUP($B27,Stammdaten!$A$11:$S$59,L$17,0)),"",VLOOKUP($B27,Stammdaten!$A$11:$S$59,L$17,0)/1000*$A$3*Fläche)</f>
        <v>3.0136028676923061</v>
      </c>
      <c r="M27" s="252">
        <f t="shared" si="3"/>
        <v>8.5656028676923057</v>
      </c>
      <c r="N27" s="253">
        <f>IF(ISNA(VLOOKUP($B27,Stammdaten!$A$11:$S$59,N$17,0)),"",VLOOKUP($B27,Stammdaten!$A$11:$S$59,N$17,0))</f>
        <v>0</v>
      </c>
      <c r="O27" s="252">
        <f>IF(ISNA(VLOOKUP($B27,Stammdaten!$A$11:$S$59,O$17,0)),"",VLOOKUP($B27,Stammdaten!$A$11:$S$59,O$17,1)*Fläche)</f>
        <v>0.8</v>
      </c>
      <c r="P27" s="69">
        <f>IF(ISNA(VLOOKUP($B27,Stammdaten!$A$11:$S$59,P$17,0)),"",VLOOKUP($B27,Stammdaten!$A$11:$S$59,P$17,0))</f>
        <v>1.2</v>
      </c>
      <c r="Q27" s="70">
        <f>IF(ISNA(VLOOKUP($B27,Stammdaten!$A$11:$S$59,Q$17,0)),"",VLOOKUP($B27,Stammdaten!$A$11:$S$59,Q$17,0)*Fläche/1000)</f>
        <v>0.72</v>
      </c>
      <c r="R27" s="70">
        <f>IF(ISNA(VLOOKUP($B27,Stammdaten!$A$11:$S$59,R$17,0)),"",VLOOKUP($B27,Stammdaten!$A$11:$S$59,R$17,0)*Fläche/1000)</f>
        <v>1.3934769230769226</v>
      </c>
      <c r="S27" s="70">
        <f>IF(ISNA(VLOOKUP($B27,Stammdaten!$A$11:$S$59,S$17,0)),"",VLOOKUP($B27,Stammdaten!$A$11:$S$59,S$17,0)*Fläche)</f>
        <v>2.1134769230769228</v>
      </c>
      <c r="T27" s="250" t="str">
        <f>IF(ISNA(VLOOKUP($B27,Stammdaten!$A$11:$S$59,T$17,0)),"",VLOOKUP($B27,Stammdaten!$A$11:$S$59,T$17,0))</f>
        <v>FO-000 Formbau</v>
      </c>
      <c r="U27" s="280" t="str">
        <f t="shared" si="1"/>
        <v/>
      </c>
      <c r="V27" s="281" t="str">
        <f>IF(OR(B27=25,B27=26),Ablauf!$D$5,"")</f>
        <v/>
      </c>
      <c r="W27" s="281" t="str">
        <f>IF(OR(B27=25,B27=26),Ablauf!S27,"")</f>
        <v/>
      </c>
      <c r="X27" s="281" t="str">
        <f>IF(OR(B27=33,B27=34),Ablauf!$D$7,"")</f>
        <v/>
      </c>
      <c r="Y27" s="281" t="str">
        <f>IF(OR(B27=33,B27=34),Ablauf!S27,"")</f>
        <v/>
      </c>
      <c r="Z27" s="282" t="str">
        <f t="shared" si="4"/>
        <v/>
      </c>
      <c r="AA27" s="370">
        <f t="shared" si="5"/>
        <v>30</v>
      </c>
      <c r="AC27" s="433">
        <f>Stammdaten!A18</f>
        <v>18</v>
      </c>
      <c r="AD27" s="434" t="str">
        <f>Stammdaten!C18</f>
        <v>CF Gewebe 200 g/m²</v>
      </c>
      <c r="AE27" s="432"/>
      <c r="AF27" s="432"/>
      <c r="AG27" s="435"/>
      <c r="AH27" s="436">
        <v>13</v>
      </c>
      <c r="AI27" s="437">
        <v>21</v>
      </c>
      <c r="AJ27" s="435"/>
      <c r="AK27" s="435"/>
      <c r="AL27" s="435"/>
      <c r="AM27" s="434"/>
      <c r="AN27" s="432"/>
      <c r="AO27" s="51">
        <f t="shared" si="7"/>
        <v>0</v>
      </c>
      <c r="AP27" s="51">
        <f t="shared" si="8"/>
        <v>0</v>
      </c>
    </row>
    <row r="28" spans="1:42" s="50" customFormat="1" ht="18" customHeight="1">
      <c r="A28" s="334">
        <f t="shared" si="6"/>
        <v>9</v>
      </c>
      <c r="B28" s="467">
        <v>27</v>
      </c>
      <c r="C28" s="336" t="str">
        <f>IF(ISNA(VLOOKUP(B28,Stammdaten!$A$11:$C$59,$C$17,0)),"",(VLOOKUP(B28,Stammdaten!$A$11:$C$59,$C$17,0)))</f>
        <v>Tempern</v>
      </c>
      <c r="D28" s="464" t="s">
        <v>349</v>
      </c>
      <c r="E28" s="369">
        <f>IF(ISNA(VLOOKUP($B28,Stammdaten!$A$11:$S$59,E$17,0)),"",VLOOKUP($B28,Stammdaten!$A$11:$S$59,E$17,0))</f>
        <v>3</v>
      </c>
      <c r="F28" s="371">
        <f>IF(ISNA(VLOOKUP($B28,Stammdaten!$A$11:$S$59,F$17,0)),"",VLOOKUP($B28,Stammdaten!$A$11:$S$59,F$17,0))</f>
        <v>0</v>
      </c>
      <c r="G28" s="372">
        <f>IF(ISNA(VLOOKUP($B28,Stammdaten!$A$11:$S$59,G$17,0)),"",VLOOKUP($B28,Stammdaten!$A$11:$S$59,G$17,0))</f>
        <v>5</v>
      </c>
      <c r="H28" s="373">
        <f t="shared" si="2"/>
        <v>10</v>
      </c>
      <c r="I28" s="251">
        <f t="shared" si="0"/>
        <v>5.833333333333333</v>
      </c>
      <c r="J28" s="252">
        <f>IF(ISNA(VLOOKUP($B28,Stammdaten!$A$11:$S$59,J$17,0)),"",VLOOKUP($B28,Stammdaten!$A$11:$S$59,J$17,0))</f>
        <v>4</v>
      </c>
      <c r="K28" s="252">
        <f>IF(ISNA(VLOOKUP($B28,Stammdaten!$A$11:$S$59,K$17,0)),"",VLOOKUP($B28,Stammdaten!$A$11:$S$59,K$17,0)*Fläche)</f>
        <v>0</v>
      </c>
      <c r="L28" s="252">
        <f>IF(ISNA(VLOOKUP($B28,Stammdaten!$A$11:$S$59,L$17,0)),"",VLOOKUP($B28,Stammdaten!$A$11:$S$59,L$17,0)/1000*$A$3*Fläche)</f>
        <v>0</v>
      </c>
      <c r="M28" s="252">
        <f t="shared" si="3"/>
        <v>4</v>
      </c>
      <c r="N28" s="253">
        <f>IF(ISNA(VLOOKUP($B28,Stammdaten!$A$11:$S$59,N$17,0)),"",VLOOKUP($B28,Stammdaten!$A$11:$S$59,N$17,0))</f>
        <v>4</v>
      </c>
      <c r="O28" s="252">
        <f>IF(ISNA(VLOOKUP($B28,Stammdaten!$A$11:$S$59,O$17,0)),"",VLOOKUP($B28,Stammdaten!$A$11:$S$59,O$17,1)*Fläche)</f>
        <v>0</v>
      </c>
      <c r="P28" s="69">
        <f>IF(ISNA(VLOOKUP($B28,Stammdaten!$A$11:$S$59,P$17,0)),"",VLOOKUP($B28,Stammdaten!$A$11:$S$59,P$17,0))</f>
        <v>0</v>
      </c>
      <c r="Q28" s="70">
        <f>IF(ISNA(VLOOKUP($B28,Stammdaten!$A$11:$S$59,Q$17,0)),"",VLOOKUP($B28,Stammdaten!$A$11:$S$59,Q$17,0)*Fläche/1000)</f>
        <v>0</v>
      </c>
      <c r="R28" s="70">
        <f>IF(ISNA(VLOOKUP($B28,Stammdaten!$A$11:$S$59,R$17,0)),"",VLOOKUP($B28,Stammdaten!$A$11:$S$59,R$17,0)*Fläche/1000)</f>
        <v>0</v>
      </c>
      <c r="S28" s="70">
        <f>IF(ISNA(VLOOKUP($B28,Stammdaten!$A$11:$S$59,S$17,0)),"",VLOOKUP($B28,Stammdaten!$A$11:$S$59,S$17,0)*Fläche)</f>
        <v>0</v>
      </c>
      <c r="T28" s="250" t="str">
        <f>IF(ISNA(VLOOKUP($B28,Stammdaten!$A$11:$S$59,T$17,0)),"",VLOOKUP($B28,Stammdaten!$A$11:$S$59,T$17,0))</f>
        <v>TE-000 Tempern</v>
      </c>
      <c r="U28" s="280" t="str">
        <f t="shared" si="1"/>
        <v/>
      </c>
      <c r="V28" s="281" t="str">
        <f>IF(OR(B28=25,B28=26),Ablauf!$D$5,"")</f>
        <v/>
      </c>
      <c r="W28" s="281" t="str">
        <f>IF(OR(B28=25,B28=26),Ablauf!S28,"")</f>
        <v/>
      </c>
      <c r="X28" s="281" t="str">
        <f>IF(OR(B28=33,B28=34),Ablauf!$D$7,"")</f>
        <v/>
      </c>
      <c r="Y28" s="281" t="str">
        <f>IF(OR(B28=33,B28=34),Ablauf!S28,"")</f>
        <v/>
      </c>
      <c r="Z28" s="282" t="str">
        <f t="shared" si="4"/>
        <v/>
      </c>
      <c r="AA28" s="370">
        <f t="shared" si="5"/>
        <v>10</v>
      </c>
      <c r="AC28" s="433">
        <f>Stammdaten!A19</f>
        <v>19</v>
      </c>
      <c r="AD28" s="434" t="str">
        <f>Stammdaten!C19</f>
        <v>CF Gewebe 400 g/m²</v>
      </c>
      <c r="AE28" s="432"/>
      <c r="AF28" s="432"/>
      <c r="AG28" s="435"/>
      <c r="AH28" s="436">
        <v>13</v>
      </c>
      <c r="AI28" s="437">
        <v>27</v>
      </c>
      <c r="AJ28" s="435"/>
      <c r="AK28" s="435"/>
      <c r="AL28" s="435"/>
      <c r="AM28" s="434"/>
      <c r="AN28" s="432"/>
      <c r="AO28" s="51">
        <f t="shared" si="7"/>
        <v>0</v>
      </c>
      <c r="AP28" s="51">
        <f t="shared" si="8"/>
        <v>0</v>
      </c>
    </row>
    <row r="29" spans="1:42" s="50" customFormat="1" ht="18" customHeight="1">
      <c r="A29" s="334">
        <f t="shared" si="6"/>
        <v>10</v>
      </c>
      <c r="B29" s="466">
        <v>21</v>
      </c>
      <c r="C29" s="336" t="str">
        <f>IF(ISNA(VLOOKUP(B29,Stammdaten!$A$11:$C$59,$C$17,0)),"",(VLOOKUP(B29,Stammdaten!$A$11:$C$59,$C$17,0)))</f>
        <v>Formbau 450 g/m²</v>
      </c>
      <c r="D29" s="464"/>
      <c r="E29" s="369">
        <f>IF(ISNA(VLOOKUP($B29,Stammdaten!$A$11:$S$59,E$17,0)),"",VLOOKUP($B29,Stammdaten!$A$11:$S$59,E$17,0))</f>
        <v>3</v>
      </c>
      <c r="F29" s="371">
        <f>IF(ISNA(VLOOKUP($B29,Stammdaten!$A$11:$S$59,F$17,0)),"",VLOOKUP($B29,Stammdaten!$A$11:$S$59,F$17,0))</f>
        <v>24</v>
      </c>
      <c r="G29" s="372">
        <f>IF(ISNA(VLOOKUP($B29,Stammdaten!$A$11:$S$59,G$17,0)),"",VLOOKUP($B29,Stammdaten!$A$11:$S$59,G$17,0))</f>
        <v>10</v>
      </c>
      <c r="H29" s="373">
        <f t="shared" si="2"/>
        <v>30</v>
      </c>
      <c r="I29" s="251">
        <f t="shared" si="0"/>
        <v>17.5</v>
      </c>
      <c r="J29" s="252">
        <f>IF(ISNA(VLOOKUP($B29,Stammdaten!$A$11:$S$59,J$17,0)),"",VLOOKUP($B29,Stammdaten!$A$11:$S$59,J$17,0))</f>
        <v>4</v>
      </c>
      <c r="K29" s="252">
        <f>IF(ISNA(VLOOKUP($B29,Stammdaten!$A$11:$S$59,K$17,0)),"",VLOOKUP($B29,Stammdaten!$A$11:$S$59,K$17,0)*Fläche)</f>
        <v>1.552</v>
      </c>
      <c r="L29" s="252">
        <f>IF(ISNA(VLOOKUP($B29,Stammdaten!$A$11:$S$59,L$17,0)),"",VLOOKUP($B29,Stammdaten!$A$11:$S$59,L$17,0)/1000*$A$3*Fläche)</f>
        <v>3.0136028676923061</v>
      </c>
      <c r="M29" s="252">
        <f t="shared" si="3"/>
        <v>8.5656028676923057</v>
      </c>
      <c r="N29" s="253">
        <f>IF(ISNA(VLOOKUP($B29,Stammdaten!$A$11:$S$59,N$17,0)),"",VLOOKUP($B29,Stammdaten!$A$11:$S$59,N$17,0))</f>
        <v>0</v>
      </c>
      <c r="O29" s="252">
        <f>IF(ISNA(VLOOKUP($B29,Stammdaten!$A$11:$S$59,O$17,0)),"",VLOOKUP($B29,Stammdaten!$A$11:$S$59,O$17,1)*Fläche)</f>
        <v>0.8</v>
      </c>
      <c r="P29" s="69">
        <f>IF(ISNA(VLOOKUP($B29,Stammdaten!$A$11:$S$59,P$17,0)),"",VLOOKUP($B29,Stammdaten!$A$11:$S$59,P$17,0))</f>
        <v>1.2</v>
      </c>
      <c r="Q29" s="70">
        <f>IF(ISNA(VLOOKUP($B29,Stammdaten!$A$11:$S$59,Q$17,0)),"",VLOOKUP($B29,Stammdaten!$A$11:$S$59,Q$17,0)*Fläche/1000)</f>
        <v>0.72</v>
      </c>
      <c r="R29" s="70">
        <f>IF(ISNA(VLOOKUP($B29,Stammdaten!$A$11:$S$59,R$17,0)),"",VLOOKUP($B29,Stammdaten!$A$11:$S$59,R$17,0)*Fläche/1000)</f>
        <v>1.3934769230769226</v>
      </c>
      <c r="S29" s="70">
        <f>IF(ISNA(VLOOKUP($B29,Stammdaten!$A$11:$S$59,S$17,0)),"",VLOOKUP($B29,Stammdaten!$A$11:$S$59,S$17,0)*Fläche)</f>
        <v>2.1134769230769228</v>
      </c>
      <c r="T29" s="250" t="str">
        <f>IF(ISNA(VLOOKUP($B29,Stammdaten!$A$11:$S$59,T$17,0)),"",VLOOKUP($B29,Stammdaten!$A$11:$S$59,T$17,0))</f>
        <v>FO-000 Formbau</v>
      </c>
      <c r="U29" s="280" t="str">
        <f t="shared" si="1"/>
        <v/>
      </c>
      <c r="V29" s="281" t="str">
        <f>IF(OR(B29=25,B29=26),Ablauf!$D$5,"")</f>
        <v/>
      </c>
      <c r="W29" s="281" t="str">
        <f>IF(OR(B29=25,B29=26),Ablauf!S29,"")</f>
        <v/>
      </c>
      <c r="X29" s="281" t="str">
        <f>IF(OR(B29=33,B29=34),Ablauf!$D$7,"")</f>
        <v/>
      </c>
      <c r="Y29" s="281" t="str">
        <f>IF(OR(B29=33,B29=34),Ablauf!S29,"")</f>
        <v/>
      </c>
      <c r="Z29" s="282" t="str">
        <f t="shared" si="4"/>
        <v/>
      </c>
      <c r="AA29" s="370">
        <f t="shared" si="5"/>
        <v>30</v>
      </c>
      <c r="AB29" s="143"/>
      <c r="AC29" s="433">
        <f>Stammdaten!A20</f>
        <v>20</v>
      </c>
      <c r="AD29" s="434" t="str">
        <f>Stammdaten!C20</f>
        <v>CF Gewebe 600 g/m²</v>
      </c>
      <c r="AE29" s="432"/>
      <c r="AF29" s="432"/>
      <c r="AG29" s="435"/>
      <c r="AH29" s="436">
        <v>27</v>
      </c>
      <c r="AI29" s="437">
        <v>21</v>
      </c>
      <c r="AJ29" s="435"/>
      <c r="AK29" s="435"/>
      <c r="AL29" s="435"/>
      <c r="AM29" s="434"/>
      <c r="AN29" s="432"/>
      <c r="AO29" s="51">
        <f t="shared" si="7"/>
        <v>0</v>
      </c>
      <c r="AP29" s="51">
        <f t="shared" si="8"/>
        <v>0</v>
      </c>
    </row>
    <row r="30" spans="1:42" s="50" customFormat="1" ht="18" customHeight="1">
      <c r="A30" s="334">
        <f t="shared" si="6"/>
        <v>11</v>
      </c>
      <c r="B30" s="466">
        <v>21</v>
      </c>
      <c r="C30" s="336" t="str">
        <f>IF(ISNA(VLOOKUP(B30,Stammdaten!$A$11:$C$59,$C$17,0)),"",(VLOOKUP(B30,Stammdaten!$A$11:$C$59,$C$17,0)))</f>
        <v>Formbau 450 g/m²</v>
      </c>
      <c r="D30" s="464"/>
      <c r="E30" s="369">
        <f>IF(ISNA(VLOOKUP($B30,Stammdaten!$A$11:$S$59,E$17,0)),"",VLOOKUP($B30,Stammdaten!$A$11:$S$59,E$17,0))</f>
        <v>3</v>
      </c>
      <c r="F30" s="371">
        <f>IF(ISNA(VLOOKUP($B30,Stammdaten!$A$11:$S$59,F$17,0)),"",VLOOKUP($B30,Stammdaten!$A$11:$S$59,F$17,0))</f>
        <v>24</v>
      </c>
      <c r="G30" s="372">
        <f>IF(ISNA(VLOOKUP($B30,Stammdaten!$A$11:$S$59,G$17,0)),"",VLOOKUP($B30,Stammdaten!$A$11:$S$59,G$17,0))</f>
        <v>10</v>
      </c>
      <c r="H30" s="373">
        <f t="shared" si="2"/>
        <v>30</v>
      </c>
      <c r="I30" s="251">
        <f t="shared" si="0"/>
        <v>17.5</v>
      </c>
      <c r="J30" s="252">
        <f>IF(ISNA(VLOOKUP($B30,Stammdaten!$A$11:$S$59,J$17,0)),"",VLOOKUP($B30,Stammdaten!$A$11:$S$59,J$17,0))</f>
        <v>4</v>
      </c>
      <c r="K30" s="252">
        <f>IF(ISNA(VLOOKUP($B30,Stammdaten!$A$11:$S$59,K$17,0)),"",VLOOKUP($B30,Stammdaten!$A$11:$S$59,K$17,0)*Fläche)</f>
        <v>1.552</v>
      </c>
      <c r="L30" s="252">
        <f>IF(ISNA(VLOOKUP($B30,Stammdaten!$A$11:$S$59,L$17,0)),"",VLOOKUP($B30,Stammdaten!$A$11:$S$59,L$17,0)/1000*$A$3*Fläche)</f>
        <v>3.0136028676923061</v>
      </c>
      <c r="M30" s="252">
        <f t="shared" si="3"/>
        <v>8.5656028676923057</v>
      </c>
      <c r="N30" s="253">
        <f>IF(ISNA(VLOOKUP($B30,Stammdaten!$A$11:$S$59,N$17,0)),"",VLOOKUP($B30,Stammdaten!$A$11:$S$59,N$17,0))</f>
        <v>0</v>
      </c>
      <c r="O30" s="252">
        <f>IF(ISNA(VLOOKUP($B30,Stammdaten!$A$11:$S$59,O$17,0)),"",VLOOKUP($B30,Stammdaten!$A$11:$S$59,O$17,1)*Fläche)</f>
        <v>0.8</v>
      </c>
      <c r="P30" s="69">
        <f>IF(ISNA(VLOOKUP($B30,Stammdaten!$A$11:$S$59,P$17,0)),"",VLOOKUP($B30,Stammdaten!$A$11:$S$59,P$17,0))</f>
        <v>1.2</v>
      </c>
      <c r="Q30" s="70">
        <f>IF(ISNA(VLOOKUP($B30,Stammdaten!$A$11:$S$59,Q$17,0)),"",VLOOKUP($B30,Stammdaten!$A$11:$S$59,Q$17,0)*Fläche/1000)</f>
        <v>0.72</v>
      </c>
      <c r="R30" s="70">
        <f>IF(ISNA(VLOOKUP($B30,Stammdaten!$A$11:$S$59,R$17,0)),"",VLOOKUP($B30,Stammdaten!$A$11:$S$59,R$17,0)*Fläche/1000)</f>
        <v>1.3934769230769226</v>
      </c>
      <c r="S30" s="70">
        <f>IF(ISNA(VLOOKUP($B30,Stammdaten!$A$11:$S$59,S$17,0)),"",VLOOKUP($B30,Stammdaten!$A$11:$S$59,S$17,0)*Fläche)</f>
        <v>2.1134769230769228</v>
      </c>
      <c r="T30" s="250" t="str">
        <f>IF(ISNA(VLOOKUP($B30,Stammdaten!$A$11:$S$59,T$17,0)),"",VLOOKUP($B30,Stammdaten!$A$11:$S$59,T$17,0))</f>
        <v>FO-000 Formbau</v>
      </c>
      <c r="U30" s="280" t="str">
        <f t="shared" si="1"/>
        <v/>
      </c>
      <c r="V30" s="281" t="str">
        <f>IF(OR(B30=25,B30=26),Ablauf!$D$5,"")</f>
        <v/>
      </c>
      <c r="W30" s="281" t="str">
        <f>IF(OR(B30=25,B30=26),Ablauf!S30,"")</f>
        <v/>
      </c>
      <c r="X30" s="281" t="str">
        <f>IF(OR(B30=33,B30=34),Ablauf!$D$7,"")</f>
        <v/>
      </c>
      <c r="Y30" s="281" t="str">
        <f>IF(OR(B30=33,B30=34),Ablauf!S30,"")</f>
        <v/>
      </c>
      <c r="Z30" s="282" t="str">
        <f t="shared" si="4"/>
        <v/>
      </c>
      <c r="AA30" s="370">
        <f t="shared" si="5"/>
        <v>30</v>
      </c>
      <c r="AB30" s="143"/>
      <c r="AC30" s="433">
        <f>Stammdaten!A21</f>
        <v>21</v>
      </c>
      <c r="AD30" s="434" t="str">
        <f>Stammdaten!C21</f>
        <v>Formbau 450 g/m²</v>
      </c>
      <c r="AE30" s="435"/>
      <c r="AF30" s="435"/>
      <c r="AG30" s="435"/>
      <c r="AH30" s="436">
        <v>28</v>
      </c>
      <c r="AI30" s="437">
        <v>21</v>
      </c>
      <c r="AJ30" s="435"/>
      <c r="AK30" s="435"/>
      <c r="AL30" s="435"/>
      <c r="AM30" s="434"/>
      <c r="AN30" s="432"/>
    </row>
    <row r="31" spans="1:42" s="50" customFormat="1" ht="18" customHeight="1">
      <c r="A31" s="334">
        <f t="shared" si="6"/>
        <v>12</v>
      </c>
      <c r="B31" s="467">
        <v>21</v>
      </c>
      <c r="C31" s="336" t="str">
        <f>IF(ISNA(VLOOKUP(B31,Stammdaten!$A$11:$C$59,$C$17,0)),"",(VLOOKUP(B31,Stammdaten!$A$11:$C$59,$C$17,0)))</f>
        <v>Formbau 450 g/m²</v>
      </c>
      <c r="D31" s="464"/>
      <c r="E31" s="369">
        <f>IF(ISNA(VLOOKUP($B31,Stammdaten!$A$11:$S$59,E$17,0)),"",VLOOKUP($B31,Stammdaten!$A$11:$S$59,E$17,0))</f>
        <v>3</v>
      </c>
      <c r="F31" s="371">
        <f>IF(ISNA(VLOOKUP($B31,Stammdaten!$A$11:$S$59,F$17,0)),"",VLOOKUP($B31,Stammdaten!$A$11:$S$59,F$17,0))</f>
        <v>24</v>
      </c>
      <c r="G31" s="372">
        <f>IF(ISNA(VLOOKUP($B31,Stammdaten!$A$11:$S$59,G$17,0)),"",VLOOKUP($B31,Stammdaten!$A$11:$S$59,G$17,0))</f>
        <v>10</v>
      </c>
      <c r="H31" s="373">
        <f t="shared" si="2"/>
        <v>30</v>
      </c>
      <c r="I31" s="251">
        <f t="shared" si="0"/>
        <v>17.5</v>
      </c>
      <c r="J31" s="252">
        <f>IF(ISNA(VLOOKUP($B31,Stammdaten!$A$11:$S$59,J$17,0)),"",VLOOKUP($B31,Stammdaten!$A$11:$S$59,J$17,0))</f>
        <v>4</v>
      </c>
      <c r="K31" s="252">
        <f>IF(ISNA(VLOOKUP($B31,Stammdaten!$A$11:$S$59,K$17,0)),"",VLOOKUP($B31,Stammdaten!$A$11:$S$59,K$17,0)*Fläche)</f>
        <v>1.552</v>
      </c>
      <c r="L31" s="252">
        <f>IF(ISNA(VLOOKUP($B31,Stammdaten!$A$11:$S$59,L$17,0)),"",VLOOKUP($B31,Stammdaten!$A$11:$S$59,L$17,0)/1000*$A$3*Fläche)</f>
        <v>3.0136028676923061</v>
      </c>
      <c r="M31" s="252">
        <f t="shared" si="3"/>
        <v>8.5656028676923057</v>
      </c>
      <c r="N31" s="253">
        <f>IF(ISNA(VLOOKUP($B31,Stammdaten!$A$11:$S$59,N$17,0)),"",VLOOKUP($B31,Stammdaten!$A$11:$S$59,N$17,0))</f>
        <v>0</v>
      </c>
      <c r="O31" s="252">
        <f>IF(ISNA(VLOOKUP($B31,Stammdaten!$A$11:$S$59,O$17,0)),"",VLOOKUP($B31,Stammdaten!$A$11:$S$59,O$17,1)*Fläche)</f>
        <v>0.8</v>
      </c>
      <c r="P31" s="69">
        <f>IF(ISNA(VLOOKUP($B31,Stammdaten!$A$11:$S$59,P$17,0)),"",VLOOKUP($B31,Stammdaten!$A$11:$S$59,P$17,0))</f>
        <v>1.2</v>
      </c>
      <c r="Q31" s="70">
        <f>IF(ISNA(VLOOKUP($B31,Stammdaten!$A$11:$S$59,Q$17,0)),"",VLOOKUP($B31,Stammdaten!$A$11:$S$59,Q$17,0)*Fläche/1000)</f>
        <v>0.72</v>
      </c>
      <c r="R31" s="70">
        <f>IF(ISNA(VLOOKUP($B31,Stammdaten!$A$11:$S$59,R$17,0)),"",VLOOKUP($B31,Stammdaten!$A$11:$S$59,R$17,0)*Fläche/1000)</f>
        <v>1.3934769230769226</v>
      </c>
      <c r="S31" s="70">
        <f>IF(ISNA(VLOOKUP($B31,Stammdaten!$A$11:$S$59,S$17,0)),"",VLOOKUP($B31,Stammdaten!$A$11:$S$59,S$17,0)*Fläche)</f>
        <v>2.1134769230769228</v>
      </c>
      <c r="T31" s="250" t="str">
        <f>IF(ISNA(VLOOKUP($B31,Stammdaten!$A$11:$S$59,T$17,0)),"",VLOOKUP($B31,Stammdaten!$A$11:$S$59,T$17,0))</f>
        <v>FO-000 Formbau</v>
      </c>
      <c r="U31" s="280" t="str">
        <f t="shared" si="1"/>
        <v/>
      </c>
      <c r="V31" s="281" t="str">
        <f>IF(OR(B31=25,B31=26),Ablauf!$D$5,"")</f>
        <v/>
      </c>
      <c r="W31" s="281" t="str">
        <f>IF(OR(B31=25,B31=26),Ablauf!S31,"")</f>
        <v/>
      </c>
      <c r="X31" s="281" t="str">
        <f>IF(OR(B31=33,B31=34),Ablauf!$D$7,"")</f>
        <v/>
      </c>
      <c r="Y31" s="281" t="str">
        <f>IF(OR(B31=33,B31=34),Ablauf!S31,"")</f>
        <v/>
      </c>
      <c r="Z31" s="282" t="str">
        <f t="shared" si="4"/>
        <v/>
      </c>
      <c r="AA31" s="370">
        <f t="shared" si="5"/>
        <v>30</v>
      </c>
      <c r="AB31" s="143"/>
      <c r="AC31" s="433">
        <f>Stammdaten!A22</f>
        <v>22</v>
      </c>
      <c r="AD31" s="434" t="str">
        <f>Stammdaten!C22</f>
        <v>Material Zuschnitt</v>
      </c>
      <c r="AE31" s="435"/>
      <c r="AF31" s="435"/>
      <c r="AG31" s="435"/>
      <c r="AH31" s="436">
        <v>29</v>
      </c>
      <c r="AI31" s="437">
        <v>21</v>
      </c>
      <c r="AJ31" s="435"/>
      <c r="AK31" s="435"/>
      <c r="AL31" s="435"/>
      <c r="AM31" s="434"/>
      <c r="AN31" s="432"/>
    </row>
    <row r="32" spans="1:42" s="50" customFormat="1" ht="18" customHeight="1">
      <c r="A32" s="334">
        <f t="shared" si="6"/>
        <v>13</v>
      </c>
      <c r="B32" s="466">
        <v>21</v>
      </c>
      <c r="C32" s="336" t="str">
        <f>IF(ISNA(VLOOKUP(B32,Stammdaten!$A$11:$C$59,$C$17,0)),"",(VLOOKUP(B32,Stammdaten!$A$11:$C$59,$C$17,0)))</f>
        <v>Formbau 450 g/m²</v>
      </c>
      <c r="D32" s="464"/>
      <c r="E32" s="369">
        <f>IF(ISNA(VLOOKUP($B32,Stammdaten!$A$11:$S$59,E$17,0)),"",VLOOKUP($B32,Stammdaten!$A$11:$S$59,E$17,0))</f>
        <v>3</v>
      </c>
      <c r="F32" s="371">
        <f>IF(ISNA(VLOOKUP($B32,Stammdaten!$A$11:$S$59,F$17,0)),"",VLOOKUP($B32,Stammdaten!$A$11:$S$59,F$17,0))</f>
        <v>24</v>
      </c>
      <c r="G32" s="372">
        <f>IF(ISNA(VLOOKUP($B32,Stammdaten!$A$11:$S$59,G$17,0)),"",VLOOKUP($B32,Stammdaten!$A$11:$S$59,G$17,0))</f>
        <v>10</v>
      </c>
      <c r="H32" s="373">
        <f t="shared" si="2"/>
        <v>30</v>
      </c>
      <c r="I32" s="251">
        <f t="shared" si="0"/>
        <v>17.5</v>
      </c>
      <c r="J32" s="252">
        <f>IF(ISNA(VLOOKUP($B32,Stammdaten!$A$11:$S$59,J$17,0)),"",VLOOKUP($B32,Stammdaten!$A$11:$S$59,J$17,0))</f>
        <v>4</v>
      </c>
      <c r="K32" s="252">
        <f>IF(ISNA(VLOOKUP($B32,Stammdaten!$A$11:$S$59,K$17,0)),"",VLOOKUP($B32,Stammdaten!$A$11:$S$59,K$17,0)*Fläche)</f>
        <v>1.552</v>
      </c>
      <c r="L32" s="252">
        <f>IF(ISNA(VLOOKUP($B32,Stammdaten!$A$11:$S$59,L$17,0)),"",VLOOKUP($B32,Stammdaten!$A$11:$S$59,L$17,0)/1000*$A$3*Fläche)</f>
        <v>3.0136028676923061</v>
      </c>
      <c r="M32" s="252">
        <f t="shared" si="3"/>
        <v>8.5656028676923057</v>
      </c>
      <c r="N32" s="253">
        <f>IF(ISNA(VLOOKUP($B32,Stammdaten!$A$11:$S$59,N$17,0)),"",VLOOKUP($B32,Stammdaten!$A$11:$S$59,N$17,0))</f>
        <v>0</v>
      </c>
      <c r="O32" s="252">
        <f>IF(ISNA(VLOOKUP($B32,Stammdaten!$A$11:$S$59,O$17,0)),"",VLOOKUP($B32,Stammdaten!$A$11:$S$59,O$17,1)*Fläche)</f>
        <v>0.8</v>
      </c>
      <c r="P32" s="69">
        <f>IF(ISNA(VLOOKUP($B32,Stammdaten!$A$11:$S$59,P$17,0)),"",VLOOKUP($B32,Stammdaten!$A$11:$S$59,P$17,0))</f>
        <v>1.2</v>
      </c>
      <c r="Q32" s="70">
        <f>IF(ISNA(VLOOKUP($B32,Stammdaten!$A$11:$S$59,Q$17,0)),"",VLOOKUP($B32,Stammdaten!$A$11:$S$59,Q$17,0)*Fläche/1000)</f>
        <v>0.72</v>
      </c>
      <c r="R32" s="70">
        <f>IF(ISNA(VLOOKUP($B32,Stammdaten!$A$11:$S$59,R$17,0)),"",VLOOKUP($B32,Stammdaten!$A$11:$S$59,R$17,0)*Fläche/1000)</f>
        <v>1.3934769230769226</v>
      </c>
      <c r="S32" s="70">
        <f>IF(ISNA(VLOOKUP($B32,Stammdaten!$A$11:$S$59,S$17,0)),"",VLOOKUP($B32,Stammdaten!$A$11:$S$59,S$17,0)*Fläche)</f>
        <v>2.1134769230769228</v>
      </c>
      <c r="T32" s="250" t="str">
        <f>IF(ISNA(VLOOKUP($B32,Stammdaten!$A$11:$S$59,T$17,0)),"",VLOOKUP($B32,Stammdaten!$A$11:$S$59,T$17,0))</f>
        <v>FO-000 Formbau</v>
      </c>
      <c r="U32" s="280" t="str">
        <f t="shared" si="1"/>
        <v/>
      </c>
      <c r="V32" s="281" t="str">
        <f>IF(OR(B32=25,B32=26),Ablauf!$D$5,"")</f>
        <v/>
      </c>
      <c r="W32" s="281" t="str">
        <f>IF(OR(B32=25,B32=26),Ablauf!S32,"")</f>
        <v/>
      </c>
      <c r="X32" s="281" t="str">
        <f>IF(OR(B32=33,B32=34),Ablauf!$D$7,"")</f>
        <v/>
      </c>
      <c r="Y32" s="281" t="str">
        <f>IF(OR(B32=33,B32=34),Ablauf!S32,"")</f>
        <v/>
      </c>
      <c r="Z32" s="282" t="str">
        <f t="shared" si="4"/>
        <v/>
      </c>
      <c r="AA32" s="370">
        <f t="shared" si="5"/>
        <v>30</v>
      </c>
      <c r="AB32" s="143"/>
      <c r="AC32" s="433">
        <f>Stammdaten!A23</f>
        <v>23</v>
      </c>
      <c r="AD32" s="434" t="str">
        <f>Stammdaten!C23</f>
        <v>Formen reinigen</v>
      </c>
      <c r="AE32" s="435"/>
      <c r="AF32" s="435"/>
      <c r="AG32" s="435"/>
      <c r="AH32" s="436">
        <v>31</v>
      </c>
      <c r="AI32" s="437">
        <v>21</v>
      </c>
      <c r="AJ32" s="435"/>
      <c r="AK32" s="435"/>
      <c r="AL32" s="435"/>
      <c r="AM32" s="434"/>
      <c r="AN32" s="432"/>
    </row>
    <row r="33" spans="1:40" s="50" customFormat="1" ht="18" customHeight="1">
      <c r="A33" s="334">
        <f t="shared" si="6"/>
        <v>14</v>
      </c>
      <c r="B33" s="466">
        <v>27</v>
      </c>
      <c r="C33" s="336" t="str">
        <f>IF(ISNA(VLOOKUP(B33,Stammdaten!$A$11:$C$59,$C$17,0)),"",(VLOOKUP(B33,Stammdaten!$A$11:$C$59,$C$17,0)))</f>
        <v>Tempern</v>
      </c>
      <c r="D33" s="464" t="s">
        <v>334</v>
      </c>
      <c r="E33" s="369">
        <f>IF(ISNA(VLOOKUP($B33,Stammdaten!$A$11:$S$59,E$17,0)),"",VLOOKUP($B33,Stammdaten!$A$11:$S$59,E$17,0))</f>
        <v>3</v>
      </c>
      <c r="F33" s="371">
        <f>IF(ISNA(VLOOKUP($B33,Stammdaten!$A$11:$S$59,F$17,0)),"",VLOOKUP($B33,Stammdaten!$A$11:$S$59,F$17,0))</f>
        <v>0</v>
      </c>
      <c r="G33" s="372">
        <f>IF(ISNA(VLOOKUP($B33,Stammdaten!$A$11:$S$59,G$17,0)),"",VLOOKUP($B33,Stammdaten!$A$11:$S$59,G$17,0))</f>
        <v>5</v>
      </c>
      <c r="H33" s="373">
        <f t="shared" si="2"/>
        <v>10</v>
      </c>
      <c r="I33" s="251">
        <f t="shared" si="0"/>
        <v>5.833333333333333</v>
      </c>
      <c r="J33" s="252">
        <f>IF(ISNA(VLOOKUP($B33,Stammdaten!$A$11:$S$59,J$17,0)),"",VLOOKUP($B33,Stammdaten!$A$11:$S$59,J$17,0))</f>
        <v>4</v>
      </c>
      <c r="K33" s="252">
        <f>IF(ISNA(VLOOKUP($B33,Stammdaten!$A$11:$S$59,K$17,0)),"",VLOOKUP($B33,Stammdaten!$A$11:$S$59,K$17,0)*Fläche)</f>
        <v>0</v>
      </c>
      <c r="L33" s="252">
        <f>IF(ISNA(VLOOKUP($B33,Stammdaten!$A$11:$S$59,L$17,0)),"",VLOOKUP($B33,Stammdaten!$A$11:$S$59,L$17,0)/1000*$A$3*Fläche)</f>
        <v>0</v>
      </c>
      <c r="M33" s="252">
        <f t="shared" si="3"/>
        <v>4</v>
      </c>
      <c r="N33" s="253">
        <f>IF(ISNA(VLOOKUP($B33,Stammdaten!$A$11:$S$59,N$17,0)),"",VLOOKUP($B33,Stammdaten!$A$11:$S$59,N$17,0))</f>
        <v>4</v>
      </c>
      <c r="O33" s="252">
        <f>IF(ISNA(VLOOKUP($B33,Stammdaten!$A$11:$S$59,O$17,0)),"",VLOOKUP($B33,Stammdaten!$A$11:$S$59,O$17,1)*Fläche)</f>
        <v>0</v>
      </c>
      <c r="P33" s="69">
        <f>IF(ISNA(VLOOKUP($B33,Stammdaten!$A$11:$S$59,P$17,0)),"",VLOOKUP($B33,Stammdaten!$A$11:$S$59,P$17,0))</f>
        <v>0</v>
      </c>
      <c r="Q33" s="70">
        <f>IF(ISNA(VLOOKUP($B33,Stammdaten!$A$11:$S$59,Q$17,0)),"",VLOOKUP($B33,Stammdaten!$A$11:$S$59,Q$17,0)*Fläche/1000)</f>
        <v>0</v>
      </c>
      <c r="R33" s="70">
        <f>IF(ISNA(VLOOKUP($B33,Stammdaten!$A$11:$S$59,R$17,0)),"",VLOOKUP($B33,Stammdaten!$A$11:$S$59,R$17,0)*Fläche/1000)</f>
        <v>0</v>
      </c>
      <c r="S33" s="70">
        <f>IF(ISNA(VLOOKUP($B33,Stammdaten!$A$11:$S$59,S$17,0)),"",VLOOKUP($B33,Stammdaten!$A$11:$S$59,S$17,0)*Fläche)</f>
        <v>0</v>
      </c>
      <c r="T33" s="250" t="str">
        <f>IF(ISNA(VLOOKUP($B33,Stammdaten!$A$11:$S$59,T$17,0)),"",VLOOKUP($B33,Stammdaten!$A$11:$S$59,T$17,0))</f>
        <v>TE-000 Tempern</v>
      </c>
      <c r="U33" s="280" t="str">
        <f t="shared" si="1"/>
        <v/>
      </c>
      <c r="V33" s="281" t="str">
        <f>IF(OR(B33=25,B33=26),Ablauf!$D$5,"")</f>
        <v/>
      </c>
      <c r="W33" s="281" t="str">
        <f>IF(OR(B33=25,B33=26),Ablauf!S33,"")</f>
        <v/>
      </c>
      <c r="X33" s="281" t="str">
        <f>IF(OR(B33=33,B33=34),Ablauf!$D$7,"")</f>
        <v/>
      </c>
      <c r="Y33" s="281" t="str">
        <f>IF(OR(B33=33,B33=34),Ablauf!S33,"")</f>
        <v/>
      </c>
      <c r="Z33" s="282" t="str">
        <f t="shared" si="4"/>
        <v/>
      </c>
      <c r="AA33" s="370">
        <f t="shared" si="5"/>
        <v>10</v>
      </c>
      <c r="AC33" s="433">
        <f>Stammdaten!A24</f>
        <v>24</v>
      </c>
      <c r="AD33" s="434" t="str">
        <f>Stammdaten!C24</f>
        <v>Formen eintrennen u. polieren</v>
      </c>
      <c r="AE33" s="435"/>
      <c r="AF33" s="435"/>
      <c r="AG33" s="435"/>
      <c r="AH33" s="436">
        <v>32</v>
      </c>
      <c r="AI33" s="437">
        <v>27</v>
      </c>
      <c r="AJ33" s="435"/>
      <c r="AK33" s="435"/>
      <c r="AL33" s="435"/>
      <c r="AM33" s="434"/>
      <c r="AN33" s="432"/>
    </row>
    <row r="34" spans="1:40" s="50" customFormat="1" ht="18" customHeight="1">
      <c r="A34" s="334">
        <f t="shared" si="6"/>
        <v>15</v>
      </c>
      <c r="B34" s="466">
        <v>28</v>
      </c>
      <c r="C34" s="336" t="str">
        <f>IF(ISNA(VLOOKUP(B34,Stammdaten!$A$11:$C$59,$C$17,0)),"",(VLOOKUP(B34,Stammdaten!$A$11:$C$59,$C$17,0)))</f>
        <v>Entformen</v>
      </c>
      <c r="D34" s="464"/>
      <c r="E34" s="369">
        <f>IF(ISNA(VLOOKUP($B34,Stammdaten!$A$11:$S$59,E$17,0)),"",VLOOKUP($B34,Stammdaten!$A$11:$S$59,E$17,0))</f>
        <v>3</v>
      </c>
      <c r="F34" s="371">
        <f>IF(ISNA(VLOOKUP($B34,Stammdaten!$A$11:$S$59,F$17,0)),"",VLOOKUP($B34,Stammdaten!$A$11:$S$59,F$17,0))</f>
        <v>1.6</v>
      </c>
      <c r="G34" s="372">
        <f>IF(ISNA(VLOOKUP($B34,Stammdaten!$A$11:$S$59,G$17,0)),"",VLOOKUP($B34,Stammdaten!$A$11:$S$59,G$17,0))</f>
        <v>10</v>
      </c>
      <c r="H34" s="373">
        <f t="shared" si="2"/>
        <v>10</v>
      </c>
      <c r="I34" s="251">
        <f t="shared" si="0"/>
        <v>5.833333333333333</v>
      </c>
      <c r="J34" s="252">
        <f>IF(ISNA(VLOOKUP($B34,Stammdaten!$A$11:$S$59,J$17,0)),"",VLOOKUP($B34,Stammdaten!$A$11:$S$59,J$17,0))</f>
        <v>3</v>
      </c>
      <c r="K34" s="252">
        <f>IF(ISNA(VLOOKUP($B34,Stammdaten!$A$11:$S$59,K$17,0)),"",VLOOKUP($B34,Stammdaten!$A$11:$S$59,K$17,0)*Fläche)</f>
        <v>0</v>
      </c>
      <c r="L34" s="252">
        <f>IF(ISNA(VLOOKUP($B34,Stammdaten!$A$11:$S$59,L$17,0)),"",VLOOKUP($B34,Stammdaten!$A$11:$S$59,L$17,0)/1000*$A$3*Fläche)</f>
        <v>0</v>
      </c>
      <c r="M34" s="252">
        <f t="shared" si="3"/>
        <v>3</v>
      </c>
      <c r="N34" s="253">
        <f>IF(ISNA(VLOOKUP($B34,Stammdaten!$A$11:$S$59,N$17,0)),"",VLOOKUP($B34,Stammdaten!$A$11:$S$59,N$17,0))</f>
        <v>0.5</v>
      </c>
      <c r="O34" s="252">
        <f>IF(ISNA(VLOOKUP($B34,Stammdaten!$A$11:$S$59,O$17,0)),"",VLOOKUP($B34,Stammdaten!$A$11:$S$59,O$17,1)*Fläche)</f>
        <v>1.6</v>
      </c>
      <c r="P34" s="69">
        <f>IF(ISNA(VLOOKUP($B34,Stammdaten!$A$11:$S$59,P$17,0)),"",VLOOKUP($B34,Stammdaten!$A$11:$S$59,P$17,0))</f>
        <v>0</v>
      </c>
      <c r="Q34" s="70">
        <f>IF(ISNA(VLOOKUP($B34,Stammdaten!$A$11:$S$59,Q$17,0)),"",VLOOKUP($B34,Stammdaten!$A$11:$S$59,Q$17,0)*Fläche/1000)</f>
        <v>0</v>
      </c>
      <c r="R34" s="70">
        <f>IF(ISNA(VLOOKUP($B34,Stammdaten!$A$11:$S$59,R$17,0)),"",VLOOKUP($B34,Stammdaten!$A$11:$S$59,R$17,0)*Fläche/1000)</f>
        <v>0</v>
      </c>
      <c r="S34" s="70">
        <f>IF(ISNA(VLOOKUP($B34,Stammdaten!$A$11:$S$59,S$17,0)),"",VLOOKUP($B34,Stammdaten!$A$11:$S$59,S$17,0)*Fläche)</f>
        <v>0</v>
      </c>
      <c r="T34" s="250" t="str">
        <f>IF(ISNA(VLOOKUP($B34,Stammdaten!$A$11:$S$59,T$17,0)),"",VLOOKUP($B34,Stammdaten!$A$11:$S$59,T$17,0))</f>
        <v>EF-000 Entformen</v>
      </c>
      <c r="U34" s="280" t="str">
        <f t="shared" si="1"/>
        <v/>
      </c>
      <c r="V34" s="281" t="str">
        <f>IF(OR(B34=25,B34=26),Ablauf!$D$5,"")</f>
        <v/>
      </c>
      <c r="W34" s="281" t="str">
        <f>IF(OR(B34=25,B34=26),Ablauf!S34,"")</f>
        <v/>
      </c>
      <c r="X34" s="281" t="str">
        <f>IF(OR(B34=33,B34=34),Ablauf!$D$7,"")</f>
        <v/>
      </c>
      <c r="Y34" s="281" t="str">
        <f>IF(OR(B34=33,B34=34),Ablauf!S34,"")</f>
        <v/>
      </c>
      <c r="Z34" s="282" t="str">
        <f t="shared" si="4"/>
        <v/>
      </c>
      <c r="AA34" s="370">
        <f t="shared" si="5"/>
        <v>10</v>
      </c>
      <c r="AC34" s="433">
        <f>Stammdaten!A25</f>
        <v>25</v>
      </c>
      <c r="AD34" s="434" t="str">
        <f>Stammdaten!C25</f>
        <v>Gelcoat spritzen</v>
      </c>
      <c r="AE34" s="435"/>
      <c r="AF34" s="435"/>
      <c r="AG34" s="435"/>
      <c r="AH34" s="436"/>
      <c r="AI34" s="437">
        <v>28</v>
      </c>
      <c r="AJ34" s="435"/>
      <c r="AK34" s="435"/>
      <c r="AL34" s="435"/>
      <c r="AM34" s="434"/>
      <c r="AN34" s="432"/>
    </row>
    <row r="35" spans="1:40" s="50" customFormat="1" ht="18" customHeight="1">
      <c r="A35" s="334">
        <f t="shared" ref="A35:A59" si="9">A34+1</f>
        <v>16</v>
      </c>
      <c r="B35" s="466">
        <v>29</v>
      </c>
      <c r="C35" s="336" t="str">
        <f>IF(ISNA(VLOOKUP(B35,Stammdaten!$A$11:$C$59,$C$17,0)),"",(VLOOKUP(B35,Stammdaten!$A$11:$C$59,$C$17,0)))</f>
        <v xml:space="preserve">Beschneiden </v>
      </c>
      <c r="D35" s="464"/>
      <c r="E35" s="369">
        <f>IF(ISNA(VLOOKUP($B35,Stammdaten!$A$11:$S$59,E$17,0)),"",VLOOKUP($B35,Stammdaten!$A$11:$S$59,E$17,0))</f>
        <v>4</v>
      </c>
      <c r="F35" s="371">
        <f>IF(ISNA(VLOOKUP($B35,Stammdaten!$A$11:$S$59,F$17,0)),"",VLOOKUP($B35,Stammdaten!$A$11:$S$59,F$17,0))</f>
        <v>8</v>
      </c>
      <c r="G35" s="372">
        <f>IF(ISNA(VLOOKUP($B35,Stammdaten!$A$11:$S$59,G$17,0)),"",VLOOKUP($B35,Stammdaten!$A$11:$S$59,G$17,0))</f>
        <v>10</v>
      </c>
      <c r="H35" s="373">
        <f t="shared" si="2"/>
        <v>20</v>
      </c>
      <c r="I35" s="251">
        <f t="shared" si="0"/>
        <v>11.666666666666666</v>
      </c>
      <c r="J35" s="252">
        <f>IF(ISNA(VLOOKUP($B35,Stammdaten!$A$11:$S$59,J$17,0)),"",VLOOKUP($B35,Stammdaten!$A$11:$S$59,J$17,0))</f>
        <v>3</v>
      </c>
      <c r="K35" s="252">
        <f>IF(ISNA(VLOOKUP($B35,Stammdaten!$A$11:$S$59,K$17,0)),"",VLOOKUP($B35,Stammdaten!$A$11:$S$59,K$17,0)*Fläche)</f>
        <v>0.8</v>
      </c>
      <c r="L35" s="252">
        <f>IF(ISNA(VLOOKUP($B35,Stammdaten!$A$11:$S$59,L$17,0)),"",VLOOKUP($B35,Stammdaten!$A$11:$S$59,L$17,0)/1000*$A$3*Fläche)</f>
        <v>0</v>
      </c>
      <c r="M35" s="252">
        <f t="shared" si="3"/>
        <v>3.8</v>
      </c>
      <c r="N35" s="253">
        <f>IF(ISNA(VLOOKUP($B35,Stammdaten!$A$11:$S$59,N$17,0)),"",VLOOKUP($B35,Stammdaten!$A$11:$S$59,N$17,0))</f>
        <v>2</v>
      </c>
      <c r="O35" s="252">
        <f>IF(ISNA(VLOOKUP($B35,Stammdaten!$A$11:$S$59,O$17,0)),"",VLOOKUP($B35,Stammdaten!$A$11:$S$59,O$17,1)*Fläche)</f>
        <v>0.32000000000000006</v>
      </c>
      <c r="P35" s="69">
        <f>IF(ISNA(VLOOKUP($B35,Stammdaten!$A$11:$S$59,P$17,0)),"",VLOOKUP($B35,Stammdaten!$A$11:$S$59,P$17,0))</f>
        <v>0</v>
      </c>
      <c r="Q35" s="70">
        <f>IF(ISNA(VLOOKUP($B35,Stammdaten!$A$11:$S$59,Q$17,0)),"",VLOOKUP($B35,Stammdaten!$A$11:$S$59,Q$17,0)*Fläche/1000)</f>
        <v>0</v>
      </c>
      <c r="R35" s="70">
        <f>IF(ISNA(VLOOKUP($B35,Stammdaten!$A$11:$S$59,R$17,0)),"",VLOOKUP($B35,Stammdaten!$A$11:$S$59,R$17,0)*Fläche/1000)</f>
        <v>0</v>
      </c>
      <c r="S35" s="70">
        <f>IF(ISNA(VLOOKUP($B35,Stammdaten!$A$11:$S$59,S$17,0)),"",VLOOKUP($B35,Stammdaten!$A$11:$S$59,S$17,0)*Fläche)</f>
        <v>0</v>
      </c>
      <c r="T35" s="250" t="str">
        <f>IF(ISNA(VLOOKUP($B35,Stammdaten!$A$11:$S$59,T$17,0)),"",VLOOKUP($B35,Stammdaten!$A$11:$S$59,T$17,0))</f>
        <v>BS-000 Beschnitt</v>
      </c>
      <c r="U35" s="280">
        <f t="shared" si="1"/>
        <v>4</v>
      </c>
      <c r="V35" s="281" t="str">
        <f>IF(OR(B35=25,B35=26),Ablauf!$D$5,"")</f>
        <v/>
      </c>
      <c r="W35" s="281" t="str">
        <f>IF(OR(B35=25,B35=26),Ablauf!S35,"")</f>
        <v/>
      </c>
      <c r="X35" s="281" t="str">
        <f>IF(OR(B35=33,B35=34),Ablauf!$D$7,"")</f>
        <v/>
      </c>
      <c r="Y35" s="281" t="str">
        <f>IF(OR(B35=33,B35=34),Ablauf!S35,"")</f>
        <v/>
      </c>
      <c r="Z35" s="282" t="str">
        <f t="shared" si="4"/>
        <v/>
      </c>
      <c r="AA35" s="370">
        <f t="shared" si="5"/>
        <v>20</v>
      </c>
      <c r="AC35" s="433">
        <f>Stammdaten!A26</f>
        <v>26</v>
      </c>
      <c r="AD35" s="434" t="str">
        <f>Stammdaten!C26</f>
        <v>Gelcoat streichen</v>
      </c>
      <c r="AE35" s="435"/>
      <c r="AF35" s="435"/>
      <c r="AG35" s="435"/>
      <c r="AH35" s="436"/>
      <c r="AI35" s="437">
        <v>29</v>
      </c>
      <c r="AJ35" s="435"/>
      <c r="AK35" s="435"/>
      <c r="AL35" s="435"/>
      <c r="AM35" s="434"/>
      <c r="AN35" s="432"/>
    </row>
    <row r="36" spans="1:40" s="50" customFormat="1" ht="18" customHeight="1">
      <c r="A36" s="334">
        <f t="shared" si="9"/>
        <v>17</v>
      </c>
      <c r="B36" s="466">
        <v>30</v>
      </c>
      <c r="C36" s="336" t="str">
        <f>IF(ISNA(VLOOKUP(B36,Stammdaten!$A$11:$C$59,$C$17,0)),"",(VLOOKUP(B36,Stammdaten!$A$11:$C$59,$C$17,0)))</f>
        <v>Montage</v>
      </c>
      <c r="D36" s="464"/>
      <c r="E36" s="369">
        <f>IF(ISNA(VLOOKUP($B36,Stammdaten!$A$11:$S$59,E$17,0)),"",VLOOKUP($B36,Stammdaten!$A$11:$S$59,E$17,0))</f>
        <v>5</v>
      </c>
      <c r="F36" s="371">
        <f>IF(ISNA(VLOOKUP($B36,Stammdaten!$A$11:$S$59,F$17,0)),"",VLOOKUP($B36,Stammdaten!$A$11:$S$59,F$17,0))</f>
        <v>10</v>
      </c>
      <c r="G36" s="372">
        <f>IF(ISNA(VLOOKUP($B36,Stammdaten!$A$11:$S$59,G$17,0)),"",VLOOKUP($B36,Stammdaten!$A$11:$S$59,G$17,0))</f>
        <v>10</v>
      </c>
      <c r="H36" s="373">
        <f t="shared" si="2"/>
        <v>20</v>
      </c>
      <c r="I36" s="251">
        <f t="shared" si="0"/>
        <v>11.666666666666666</v>
      </c>
      <c r="J36" s="252">
        <f>IF(ISNA(VLOOKUP($B36,Stammdaten!$A$11:$S$59,J$17,0)),"",VLOOKUP($B36,Stammdaten!$A$11:$S$59,J$17,0))</f>
        <v>0</v>
      </c>
      <c r="K36" s="252">
        <f>IF(ISNA(VLOOKUP($B36,Stammdaten!$A$11:$S$59,K$17,0)),"",VLOOKUP($B36,Stammdaten!$A$11:$S$59,K$17,0)*Fläche)</f>
        <v>0</v>
      </c>
      <c r="L36" s="252">
        <f>IF(ISNA(VLOOKUP($B36,Stammdaten!$A$11:$S$59,L$17,0)),"",VLOOKUP($B36,Stammdaten!$A$11:$S$59,L$17,0)/1000*$A$3*Fläche)</f>
        <v>0</v>
      </c>
      <c r="M36" s="252" t="str">
        <f t="shared" si="3"/>
        <v/>
      </c>
      <c r="N36" s="253">
        <f>IF(ISNA(VLOOKUP($B36,Stammdaten!$A$11:$S$59,N$17,0)),"",VLOOKUP($B36,Stammdaten!$A$11:$S$59,N$17,0))</f>
        <v>0</v>
      </c>
      <c r="O36" s="252">
        <f>IF(ISNA(VLOOKUP($B36,Stammdaten!$A$11:$S$59,O$17,0)),"",VLOOKUP($B36,Stammdaten!$A$11:$S$59,O$17,1)*Fläche)</f>
        <v>0</v>
      </c>
      <c r="P36" s="69">
        <f>IF(ISNA(VLOOKUP($B36,Stammdaten!$A$11:$S$59,P$17,0)),"",VLOOKUP($B36,Stammdaten!$A$11:$S$59,P$17,0))</f>
        <v>0</v>
      </c>
      <c r="Q36" s="70">
        <f>IF(ISNA(VLOOKUP($B36,Stammdaten!$A$11:$S$59,Q$17,0)),"",VLOOKUP($B36,Stammdaten!$A$11:$S$59,Q$17,0)*Fläche/1000)</f>
        <v>0</v>
      </c>
      <c r="R36" s="70">
        <f>IF(ISNA(VLOOKUP($B36,Stammdaten!$A$11:$S$59,R$17,0)),"",VLOOKUP($B36,Stammdaten!$A$11:$S$59,R$17,0)*Fläche/1000)</f>
        <v>0</v>
      </c>
      <c r="S36" s="70">
        <f>IF(ISNA(VLOOKUP($B36,Stammdaten!$A$11:$S$59,S$17,0)),"",VLOOKUP($B36,Stammdaten!$A$11:$S$59,S$17,0)*Fläche)</f>
        <v>0</v>
      </c>
      <c r="T36" s="250" t="str">
        <f>IF(ISNA(VLOOKUP($B36,Stammdaten!$A$11:$S$59,T$17,0)),"",VLOOKUP($B36,Stammdaten!$A$11:$S$59,T$17,0))</f>
        <v xml:space="preserve">MO-000 Montage </v>
      </c>
      <c r="U36" s="280" t="str">
        <f t="shared" si="1"/>
        <v/>
      </c>
      <c r="V36" s="281" t="str">
        <f>IF(OR(B36=25,B36=26),Ablauf!$D$5,"")</f>
        <v/>
      </c>
      <c r="W36" s="281" t="str">
        <f>IF(OR(B36=25,B36=26),Ablauf!S36,"")</f>
        <v/>
      </c>
      <c r="X36" s="281" t="str">
        <f>IF(OR(B36=33,B36=34),Ablauf!$D$7,"")</f>
        <v/>
      </c>
      <c r="Y36" s="281" t="str">
        <f>IF(OR(B36=33,B36=34),Ablauf!S36,"")</f>
        <v/>
      </c>
      <c r="Z36" s="282" t="str">
        <f t="shared" si="4"/>
        <v/>
      </c>
      <c r="AA36" s="370">
        <f t="shared" si="5"/>
        <v>20</v>
      </c>
      <c r="AC36" s="433">
        <f>Stammdaten!A27</f>
        <v>27</v>
      </c>
      <c r="AD36" s="434" t="str">
        <f>Stammdaten!C27</f>
        <v>Tempern</v>
      </c>
      <c r="AE36" s="435"/>
      <c r="AF36" s="435"/>
      <c r="AG36" s="435"/>
      <c r="AH36" s="436"/>
      <c r="AI36" s="437">
        <v>30</v>
      </c>
      <c r="AJ36" s="435"/>
      <c r="AK36" s="435"/>
      <c r="AL36" s="435"/>
      <c r="AM36" s="434"/>
      <c r="AN36" s="432"/>
    </row>
    <row r="37" spans="1:40" ht="15" customHeight="1">
      <c r="A37" s="334">
        <f t="shared" si="9"/>
        <v>18</v>
      </c>
      <c r="B37" s="466">
        <v>31</v>
      </c>
      <c r="C37" s="336" t="str">
        <f>IF(ISNA(VLOOKUP(B37,Stammdaten!$A$11:$C$59,$C$17,0)),"",(VLOOKUP(B37,Stammdaten!$A$11:$C$59,$C$17,0)))</f>
        <v>Qualitätsprüfung</v>
      </c>
      <c r="D37" s="464"/>
      <c r="E37" s="369">
        <f>IF(ISNA(VLOOKUP($B37,Stammdaten!$A$11:$S$59,E$17,0)),"",VLOOKUP($B37,Stammdaten!$A$11:$S$59,E$17,0))</f>
        <v>6</v>
      </c>
      <c r="F37" s="371">
        <f>IF(ISNA(VLOOKUP($B37,Stammdaten!$A$11:$S$59,F$17,0)),"",VLOOKUP($B37,Stammdaten!$A$11:$S$59,F$17,0))</f>
        <v>5</v>
      </c>
      <c r="G37" s="372">
        <f>IF(ISNA(VLOOKUP($B37,Stammdaten!$A$11:$S$59,G$17,0)),"",VLOOKUP($B37,Stammdaten!$A$11:$S$59,G$17,0))</f>
        <v>5</v>
      </c>
      <c r="H37" s="373">
        <f t="shared" si="2"/>
        <v>10</v>
      </c>
      <c r="I37" s="251">
        <f t="shared" si="0"/>
        <v>5.833333333333333</v>
      </c>
      <c r="J37" s="252">
        <f>IF(ISNA(VLOOKUP($B37,Stammdaten!$A$11:$S$59,J$17,0)),"",VLOOKUP($B37,Stammdaten!$A$11:$S$59,J$17,0))</f>
        <v>4</v>
      </c>
      <c r="K37" s="252">
        <f>IF(ISNA(VLOOKUP($B37,Stammdaten!$A$11:$S$59,K$17,0)),"",VLOOKUP($B37,Stammdaten!$A$11:$S$59,K$17,0)*Fläche)</f>
        <v>0</v>
      </c>
      <c r="L37" s="252">
        <f>IF(ISNA(VLOOKUP($B37,Stammdaten!$A$11:$S$59,L$17,0)),"",VLOOKUP($B37,Stammdaten!$A$11:$S$59,L$17,0)/1000*$A$3*Fläche)</f>
        <v>0</v>
      </c>
      <c r="M37" s="252">
        <f t="shared" si="3"/>
        <v>4</v>
      </c>
      <c r="N37" s="253">
        <f>IF(ISNA(VLOOKUP($B37,Stammdaten!$A$11:$S$59,N$17,0)),"",VLOOKUP($B37,Stammdaten!$A$11:$S$59,N$17,0))</f>
        <v>0</v>
      </c>
      <c r="O37" s="252">
        <f>IF(ISNA(VLOOKUP($B37,Stammdaten!$A$11:$S$59,O$17,0)),"",VLOOKUP($B37,Stammdaten!$A$11:$S$59,O$17,1)*Fläche)</f>
        <v>3.2</v>
      </c>
      <c r="P37" s="69">
        <f>IF(ISNA(VLOOKUP($B37,Stammdaten!$A$11:$S$59,P$17,0)),"",VLOOKUP($B37,Stammdaten!$A$11:$S$59,P$17,0))</f>
        <v>0</v>
      </c>
      <c r="Q37" s="70">
        <f>IF(ISNA(VLOOKUP($B37,Stammdaten!$A$11:$S$59,Q$17,0)),"",VLOOKUP($B37,Stammdaten!$A$11:$S$59,Q$17,0)*Fläche/1000)</f>
        <v>0</v>
      </c>
      <c r="R37" s="70">
        <f>IF(ISNA(VLOOKUP($B37,Stammdaten!$A$11:$S$59,R$17,0)),"",VLOOKUP($B37,Stammdaten!$A$11:$S$59,R$17,0)*Fläche/1000)</f>
        <v>0</v>
      </c>
      <c r="S37" s="70">
        <f>IF(ISNA(VLOOKUP($B37,Stammdaten!$A$11:$S$59,S$17,0)),"",VLOOKUP($B37,Stammdaten!$A$11:$S$59,S$17,0)*Fläche)</f>
        <v>0</v>
      </c>
      <c r="T37" s="250" t="str">
        <f>IF(ISNA(VLOOKUP($B37,Stammdaten!$A$11:$S$59,T$17,0)),"",VLOOKUP($B37,Stammdaten!$A$11:$S$59,T$17,0))</f>
        <v>QK-000 Endkontrolle</v>
      </c>
      <c r="U37" s="280" t="str">
        <f t="shared" si="1"/>
        <v/>
      </c>
      <c r="V37" s="281" t="str">
        <f>IF(OR(B37=25,B37=26),Ablauf!$D$5,"")</f>
        <v/>
      </c>
      <c r="W37" s="281" t="str">
        <f>IF(OR(B37=25,B37=26),Ablauf!S37,"")</f>
        <v/>
      </c>
      <c r="X37" s="281" t="str">
        <f>IF(OR(B37=33,B37=34),Ablauf!$D$7,"")</f>
        <v/>
      </c>
      <c r="Y37" s="281" t="str">
        <f>IF(OR(B37=33,B37=34),Ablauf!S37,"")</f>
        <v/>
      </c>
      <c r="Z37" s="282">
        <f t="shared" si="4"/>
        <v>17.55</v>
      </c>
      <c r="AA37" s="370">
        <f t="shared" si="5"/>
        <v>10</v>
      </c>
      <c r="AC37" s="433">
        <f>Stammdaten!A28</f>
        <v>28</v>
      </c>
      <c r="AD37" s="434" t="str">
        <f>Stammdaten!C28</f>
        <v>Entformen</v>
      </c>
      <c r="AE37" s="435"/>
      <c r="AF37" s="435"/>
      <c r="AG37" s="435"/>
      <c r="AH37" s="438"/>
      <c r="AI37" s="437">
        <v>31</v>
      </c>
      <c r="AJ37" s="439"/>
      <c r="AK37" s="439"/>
      <c r="AL37" s="439"/>
      <c r="AM37" s="440"/>
      <c r="AN37" s="441"/>
    </row>
    <row r="38" spans="1:40" ht="15" customHeight="1">
      <c r="A38" s="334">
        <f t="shared" si="9"/>
        <v>19</v>
      </c>
      <c r="B38" s="466">
        <v>32</v>
      </c>
      <c r="C38" s="336" t="str">
        <f>IF(ISNA(VLOOKUP(B38,Stammdaten!$A$11:$C$59,$C$17,0)),"",(VLOOKUP(B38,Stammdaten!$A$11:$C$59,$C$17,0)))</f>
        <v>Versand Vorbereitung</v>
      </c>
      <c r="D38" s="464"/>
      <c r="E38" s="369">
        <f>IF(ISNA(VLOOKUP($B38,Stammdaten!$A$11:$S$59,E$17,0)),"",VLOOKUP($B38,Stammdaten!$A$11:$S$59,E$17,0))</f>
        <v>7</v>
      </c>
      <c r="F38" s="371">
        <f>IF(ISNA(VLOOKUP($B38,Stammdaten!$A$11:$S$59,F$17,0)),"",VLOOKUP($B38,Stammdaten!$A$11:$S$59,F$17,0))</f>
        <v>5</v>
      </c>
      <c r="G38" s="372">
        <f>IF(ISNA(VLOOKUP($B38,Stammdaten!$A$11:$S$59,G$17,0)),"",VLOOKUP($B38,Stammdaten!$A$11:$S$59,G$17,0))</f>
        <v>5</v>
      </c>
      <c r="H38" s="373">
        <f t="shared" si="2"/>
        <v>10</v>
      </c>
      <c r="I38" s="251">
        <f t="shared" si="0"/>
        <v>5.833333333333333</v>
      </c>
      <c r="J38" s="252">
        <f>IF(ISNA(VLOOKUP($B38,Stammdaten!$A$11:$S$59,J$17,0)),"",VLOOKUP($B38,Stammdaten!$A$11:$S$59,J$17,0))</f>
        <v>4</v>
      </c>
      <c r="K38" s="252">
        <f>IF(ISNA(VLOOKUP($B38,Stammdaten!$A$11:$S$59,K$17,0)),"",VLOOKUP($B38,Stammdaten!$A$11:$S$59,K$17,0)*Fläche)</f>
        <v>0</v>
      </c>
      <c r="L38" s="252">
        <f>IF(ISNA(VLOOKUP($B38,Stammdaten!$A$11:$S$59,L$17,0)),"",VLOOKUP($B38,Stammdaten!$A$11:$S$59,L$17,0)/1000*$A$3*Fläche)</f>
        <v>0</v>
      </c>
      <c r="M38" s="252">
        <f t="shared" si="3"/>
        <v>4</v>
      </c>
      <c r="N38" s="253">
        <f>IF(ISNA(VLOOKUP($B38,Stammdaten!$A$11:$S$59,N$17,0)),"",VLOOKUP($B38,Stammdaten!$A$11:$S$59,N$17,0))</f>
        <v>0</v>
      </c>
      <c r="O38" s="252">
        <f>IF(ISNA(VLOOKUP($B38,Stammdaten!$A$11:$S$59,O$17,0)),"",VLOOKUP($B38,Stammdaten!$A$11:$S$59,O$17,1)*Fläche)</f>
        <v>3.2</v>
      </c>
      <c r="P38" s="69">
        <f>IF(ISNA(VLOOKUP($B38,Stammdaten!$A$11:$S$59,P$17,0)),"",VLOOKUP($B38,Stammdaten!$A$11:$S$59,P$17,0))</f>
        <v>0</v>
      </c>
      <c r="Q38" s="70">
        <f>IF(ISNA(VLOOKUP($B38,Stammdaten!$A$11:$S$59,Q$17,0)),"",VLOOKUP($B38,Stammdaten!$A$11:$S$59,Q$17,0)*Fläche/1000)</f>
        <v>0</v>
      </c>
      <c r="R38" s="70">
        <f>IF(ISNA(VLOOKUP($B38,Stammdaten!$A$11:$S$59,R$17,0)),"",VLOOKUP($B38,Stammdaten!$A$11:$S$59,R$17,0)*Fläche/1000)</f>
        <v>0</v>
      </c>
      <c r="S38" s="70">
        <f>IF(ISNA(VLOOKUP($B38,Stammdaten!$A$11:$S$59,S$17,0)),"",VLOOKUP($B38,Stammdaten!$A$11:$S$59,S$17,0)*Fläche)</f>
        <v>0</v>
      </c>
      <c r="T38" s="250" t="str">
        <f>IF(ISNA(VLOOKUP($B38,Stammdaten!$A$11:$S$59,T$17,0)),"",VLOOKUP($B38,Stammdaten!$A$11:$S$59,T$17,0))</f>
        <v>VE-000 Versand</v>
      </c>
      <c r="U38" s="280" t="str">
        <f t="shared" si="1"/>
        <v/>
      </c>
      <c r="V38" s="281" t="str">
        <f>IF(OR(B38=25,B38=26),Ablauf!$D$5,"")</f>
        <v/>
      </c>
      <c r="W38" s="281" t="str">
        <f>IF(OR(B38=25,B38=26),Ablauf!S38,"")</f>
        <v/>
      </c>
      <c r="X38" s="281" t="str">
        <f>IF(OR(B38=33,B38=34),Ablauf!$D$7,"")</f>
        <v/>
      </c>
      <c r="Y38" s="281" t="str">
        <f>IF(OR(B38=33,B38=34),Ablauf!S38,"")</f>
        <v/>
      </c>
      <c r="Z38" s="282">
        <f t="shared" si="4"/>
        <v>17.55</v>
      </c>
      <c r="AA38" s="370">
        <f t="shared" si="5"/>
        <v>10</v>
      </c>
      <c r="AC38" s="433">
        <f>Stammdaten!A29</f>
        <v>29</v>
      </c>
      <c r="AD38" s="434" t="str">
        <f>Stammdaten!C29</f>
        <v xml:space="preserve">Beschneiden </v>
      </c>
      <c r="AE38" s="435"/>
      <c r="AF38" s="435"/>
      <c r="AG38" s="435"/>
      <c r="AH38" s="438"/>
      <c r="AI38" s="437">
        <v>32</v>
      </c>
      <c r="AJ38" s="439"/>
      <c r="AK38" s="439"/>
      <c r="AL38" s="439"/>
      <c r="AM38" s="440"/>
      <c r="AN38" s="441"/>
    </row>
    <row r="39" spans="1:40" ht="15" customHeight="1">
      <c r="A39" s="334">
        <f t="shared" si="9"/>
        <v>20</v>
      </c>
      <c r="B39" s="466"/>
      <c r="C39" s="336" t="str">
        <f>IF(ISNA(VLOOKUP(B39,Stammdaten!$A$11:$C$59,$C$17,0)),"",(VLOOKUP(B39,Stammdaten!$A$11:$C$59,$C$17,0)))</f>
        <v/>
      </c>
      <c r="D39" s="464"/>
      <c r="E39" s="369" t="str">
        <f>IF(ISNA(VLOOKUP($B39,Stammdaten!$A$11:$S$59,E$17,0)),"",VLOOKUP($B39,Stammdaten!$A$11:$S$59,E$17,0))</f>
        <v/>
      </c>
      <c r="F39" s="371" t="str">
        <f>IF(ISNA(VLOOKUP($B39,Stammdaten!$A$11:$S$59,F$17,0)),"",VLOOKUP($B39,Stammdaten!$A$11:$S$59,F$17,0))</f>
        <v/>
      </c>
      <c r="G39" s="372" t="str">
        <f>IF(ISNA(VLOOKUP($B39,Stammdaten!$A$11:$S$59,G$17,0)),"",VLOOKUP($B39,Stammdaten!$A$11:$S$59,G$17,0))</f>
        <v/>
      </c>
      <c r="H39" s="373" t="str">
        <f t="shared" si="2"/>
        <v/>
      </c>
      <c r="I39" s="251" t="str">
        <f t="shared" si="0"/>
        <v/>
      </c>
      <c r="J39" s="252" t="str">
        <f>IF(ISNA(VLOOKUP($B39,Stammdaten!$A$11:$S$59,J$17,0)),"",VLOOKUP($B39,Stammdaten!$A$11:$S$59,J$17,0))</f>
        <v/>
      </c>
      <c r="K39" s="252" t="str">
        <f>IF(ISNA(VLOOKUP($B39,Stammdaten!$A$11:$S$59,K$17,0)),"",VLOOKUP($B39,Stammdaten!$A$11:$S$59,K$17,0)*Fläche)</f>
        <v/>
      </c>
      <c r="L39" s="252" t="str">
        <f>IF(ISNA(VLOOKUP($B39,Stammdaten!$A$11:$S$59,L$17,0)),"",VLOOKUP($B39,Stammdaten!$A$11:$S$59,L$17,0)/1000*$A$3*Fläche)</f>
        <v/>
      </c>
      <c r="M39" s="252" t="str">
        <f t="shared" si="3"/>
        <v/>
      </c>
      <c r="N39" s="253" t="str">
        <f>IF(ISNA(VLOOKUP($B39,Stammdaten!$A$11:$S$59,N$17,0)),"",VLOOKUP($B39,Stammdaten!$A$11:$S$59,N$17,0))</f>
        <v/>
      </c>
      <c r="O39" s="252" t="str">
        <f>IF(ISNA(VLOOKUP($B39,Stammdaten!$A$11:$S$59,O$17,0)),"",VLOOKUP($B39,Stammdaten!$A$11:$S$59,O$17,1)*Fläche)</f>
        <v/>
      </c>
      <c r="P39" s="69" t="str">
        <f>IF(ISNA(VLOOKUP($B39,Stammdaten!$A$11:$S$59,P$17,0)),"",VLOOKUP($B39,Stammdaten!$A$11:$S$59,P$17,0))</f>
        <v/>
      </c>
      <c r="Q39" s="70" t="str">
        <f>IF(ISNA(VLOOKUP($B39,Stammdaten!$A$11:$S$59,Q$17,0)),"",VLOOKUP($B39,Stammdaten!$A$11:$S$59,Q$17,0)*Fläche/1000)</f>
        <v/>
      </c>
      <c r="R39" s="70" t="str">
        <f>IF(ISNA(VLOOKUP($B39,Stammdaten!$A$11:$S$59,R$17,0)),"",VLOOKUP($B39,Stammdaten!$A$11:$S$59,R$17,0)*Fläche/1000)</f>
        <v/>
      </c>
      <c r="S39" s="70" t="str">
        <f>IF(ISNA(VLOOKUP($B39,Stammdaten!$A$11:$S$59,S$17,0)),"",VLOOKUP($B39,Stammdaten!$A$11:$S$59,S$17,0)*Fläche)</f>
        <v/>
      </c>
      <c r="T39" s="250" t="str">
        <f>IF(ISNA(VLOOKUP($B39,Stammdaten!$A$11:$S$59,T$17,0)),"",VLOOKUP($B39,Stammdaten!$A$11:$S$59,T$17,0))</f>
        <v/>
      </c>
      <c r="U39" s="280" t="str">
        <f t="shared" si="1"/>
        <v/>
      </c>
      <c r="V39" s="281" t="str">
        <f>IF(OR(B39=25,B39=26),Ablauf!$D$5,"")</f>
        <v/>
      </c>
      <c r="W39" s="281" t="str">
        <f>IF(OR(B39=25,B39=26),Ablauf!S39,"")</f>
        <v/>
      </c>
      <c r="X39" s="281" t="str">
        <f>IF(OR(B39=33,B39=34),Ablauf!$D$7,"")</f>
        <v/>
      </c>
      <c r="Y39" s="281" t="str">
        <f>IF(OR(B39=33,B39=34),Ablauf!S39,"")</f>
        <v/>
      </c>
      <c r="Z39" s="282" t="str">
        <f t="shared" si="4"/>
        <v/>
      </c>
      <c r="AA39" s="370" t="str">
        <f t="shared" si="5"/>
        <v/>
      </c>
      <c r="AC39" s="433">
        <f>Stammdaten!A30</f>
        <v>30</v>
      </c>
      <c r="AD39" s="434" t="str">
        <f>Stammdaten!C30</f>
        <v>Montage</v>
      </c>
      <c r="AE39" s="435"/>
      <c r="AF39" s="435"/>
      <c r="AG39" s="435"/>
      <c r="AH39" s="438"/>
      <c r="AI39" s="442"/>
      <c r="AJ39" s="439"/>
      <c r="AK39" s="439"/>
      <c r="AL39" s="439"/>
      <c r="AM39" s="440"/>
      <c r="AN39" s="441"/>
    </row>
    <row r="40" spans="1:40" ht="15" customHeight="1">
      <c r="A40" s="334">
        <f t="shared" si="9"/>
        <v>21</v>
      </c>
      <c r="B40" s="466"/>
      <c r="C40" s="336" t="str">
        <f>IF(ISNA(VLOOKUP(B40,Stammdaten!$A$11:$C$59,$C$17,0)),"",(VLOOKUP(B40,Stammdaten!$A$11:$C$59,$C$17,0)))</f>
        <v/>
      </c>
      <c r="D40" s="464"/>
      <c r="E40" s="369" t="str">
        <f>IF(ISNA(VLOOKUP($B40,Stammdaten!$A$11:$S$59,E$17,0)),"",VLOOKUP($B40,Stammdaten!$A$11:$S$59,E$17,0))</f>
        <v/>
      </c>
      <c r="F40" s="371" t="str">
        <f>IF(ISNA(VLOOKUP($B40,Stammdaten!$A$11:$S$59,F$17,0)),"",VLOOKUP($B40,Stammdaten!$A$11:$S$59,F$17,0))</f>
        <v/>
      </c>
      <c r="G40" s="372" t="str">
        <f>IF(ISNA(VLOOKUP($B40,Stammdaten!$A$11:$S$59,G$17,0)),"",VLOOKUP($B40,Stammdaten!$A$11:$S$59,G$17,0))</f>
        <v/>
      </c>
      <c r="H40" s="373" t="str">
        <f t="shared" si="2"/>
        <v/>
      </c>
      <c r="I40" s="251" t="str">
        <f t="shared" si="0"/>
        <v/>
      </c>
      <c r="J40" s="252" t="str">
        <f>IF(ISNA(VLOOKUP($B40,Stammdaten!$A$11:$S$59,J$17,0)),"",VLOOKUP($B40,Stammdaten!$A$11:$S$59,J$17,0))</f>
        <v/>
      </c>
      <c r="K40" s="252" t="str">
        <f>IF(ISNA(VLOOKUP($B40,Stammdaten!$A$11:$S$59,K$17,0)),"",VLOOKUP($B40,Stammdaten!$A$11:$S$59,K$17,0)*Fläche)</f>
        <v/>
      </c>
      <c r="L40" s="252" t="str">
        <f>IF(ISNA(VLOOKUP($B40,Stammdaten!$A$11:$S$59,L$17,0)),"",VLOOKUP($B40,Stammdaten!$A$11:$S$59,L$17,0)/1000*$A$3*Fläche)</f>
        <v/>
      </c>
      <c r="M40" s="252" t="str">
        <f t="shared" si="3"/>
        <v/>
      </c>
      <c r="N40" s="253" t="str">
        <f>IF(ISNA(VLOOKUP($B40,Stammdaten!$A$11:$S$59,N$17,0)),"",VLOOKUP($B40,Stammdaten!$A$11:$S$59,N$17,0))</f>
        <v/>
      </c>
      <c r="O40" s="252" t="str">
        <f>IF(ISNA(VLOOKUP($B40,Stammdaten!$A$11:$S$59,O$17,0)),"",VLOOKUP($B40,Stammdaten!$A$11:$S$59,O$17,1)*Fläche)</f>
        <v/>
      </c>
      <c r="P40" s="69" t="str">
        <f>IF(ISNA(VLOOKUP($B40,Stammdaten!$A$11:$S$59,P$17,0)),"",VLOOKUP($B40,Stammdaten!$A$11:$S$59,P$17,0))</f>
        <v/>
      </c>
      <c r="Q40" s="70" t="str">
        <f>IF(ISNA(VLOOKUP($B40,Stammdaten!$A$11:$S$59,Q$17,0)),"",VLOOKUP($B40,Stammdaten!$A$11:$S$59,Q$17,0)*Fläche/1000)</f>
        <v/>
      </c>
      <c r="R40" s="70" t="str">
        <f>IF(ISNA(VLOOKUP($B40,Stammdaten!$A$11:$S$59,R$17,0)),"",VLOOKUP($B40,Stammdaten!$A$11:$S$59,R$17,0)*Fläche/1000)</f>
        <v/>
      </c>
      <c r="S40" s="70" t="str">
        <f>IF(ISNA(VLOOKUP($B40,Stammdaten!$A$11:$S$59,S$17,0)),"",VLOOKUP($B40,Stammdaten!$A$11:$S$59,S$17,0)*Fläche)</f>
        <v/>
      </c>
      <c r="T40" s="250" t="str">
        <f>IF(ISNA(VLOOKUP($B40,Stammdaten!$A$11:$S$59,T$17,0)),"",VLOOKUP($B40,Stammdaten!$A$11:$S$59,T$17,0))</f>
        <v/>
      </c>
      <c r="U40" s="280" t="str">
        <f t="shared" si="1"/>
        <v/>
      </c>
      <c r="V40" s="281" t="str">
        <f>IF(OR(B40=25,B40=26),Ablauf!$D$5,"")</f>
        <v/>
      </c>
      <c r="W40" s="281" t="str">
        <f>IF(OR(B40=25,B40=26),Ablauf!S40,"")</f>
        <v/>
      </c>
      <c r="X40" s="281" t="str">
        <f>IF(OR(B40=33,B40=34),Ablauf!$D$7,"")</f>
        <v/>
      </c>
      <c r="Y40" s="281" t="str">
        <f>IF(OR(B40=33,B40=34),Ablauf!S40,"")</f>
        <v/>
      </c>
      <c r="Z40" s="282" t="str">
        <f t="shared" si="4"/>
        <v/>
      </c>
      <c r="AA40" s="370" t="str">
        <f t="shared" si="5"/>
        <v/>
      </c>
      <c r="AC40" s="433">
        <f>Stammdaten!A31</f>
        <v>31</v>
      </c>
      <c r="AD40" s="434" t="str">
        <f>Stammdaten!C31</f>
        <v>Qualitätsprüfung</v>
      </c>
      <c r="AE40" s="435"/>
      <c r="AF40" s="435"/>
      <c r="AG40" s="435"/>
      <c r="AH40" s="438"/>
      <c r="AI40" s="442"/>
      <c r="AJ40" s="439"/>
      <c r="AK40" s="439"/>
      <c r="AL40" s="439"/>
      <c r="AM40" s="440"/>
      <c r="AN40" s="441"/>
    </row>
    <row r="41" spans="1:40" ht="15" customHeight="1">
      <c r="A41" s="334">
        <f t="shared" si="9"/>
        <v>22</v>
      </c>
      <c r="B41" s="466"/>
      <c r="C41" s="336" t="str">
        <f>IF(ISNA(VLOOKUP(B41,Stammdaten!$A$11:$C$59,$C$17,0)),"",(VLOOKUP(B41,Stammdaten!$A$11:$C$59,$C$17,0)))</f>
        <v/>
      </c>
      <c r="D41" s="464"/>
      <c r="E41" s="369" t="str">
        <f>IF(ISNA(VLOOKUP($B41,Stammdaten!$A$11:$S$59,E$17,0)),"",VLOOKUP($B41,Stammdaten!$A$11:$S$59,E$17,0))</f>
        <v/>
      </c>
      <c r="F41" s="371" t="str">
        <f>IF(ISNA(VLOOKUP($B41,Stammdaten!$A$11:$S$59,F$17,0)),"",VLOOKUP($B41,Stammdaten!$A$11:$S$59,F$17,0))</f>
        <v/>
      </c>
      <c r="G41" s="372" t="str">
        <f>IF(ISNA(VLOOKUP($B41,Stammdaten!$A$11:$S$59,G$17,0)),"",VLOOKUP($B41,Stammdaten!$A$11:$S$59,G$17,0))</f>
        <v/>
      </c>
      <c r="H41" s="373" t="str">
        <f t="shared" si="2"/>
        <v/>
      </c>
      <c r="I41" s="251" t="str">
        <f t="shared" si="0"/>
        <v/>
      </c>
      <c r="J41" s="252" t="str">
        <f>IF(ISNA(VLOOKUP($B41,Stammdaten!$A$11:$S$59,J$17,0)),"",VLOOKUP($B41,Stammdaten!$A$11:$S$59,J$17,0))</f>
        <v/>
      </c>
      <c r="K41" s="252" t="str">
        <f>IF(ISNA(VLOOKUP($B41,Stammdaten!$A$11:$S$59,K$17,0)),"",VLOOKUP($B41,Stammdaten!$A$11:$S$59,K$17,0)*Fläche)</f>
        <v/>
      </c>
      <c r="L41" s="252" t="str">
        <f>IF(ISNA(VLOOKUP($B41,Stammdaten!$A$11:$S$59,L$17,0)),"",VLOOKUP($B41,Stammdaten!$A$11:$S$59,L$17,0)/1000*$A$3*Fläche)</f>
        <v/>
      </c>
      <c r="M41" s="252" t="str">
        <f t="shared" si="3"/>
        <v/>
      </c>
      <c r="N41" s="253" t="str">
        <f>IF(ISNA(VLOOKUP($B41,Stammdaten!$A$11:$S$59,N$17,0)),"",VLOOKUP($B41,Stammdaten!$A$11:$S$59,N$17,0))</f>
        <v/>
      </c>
      <c r="O41" s="252" t="str">
        <f>IF(ISNA(VLOOKUP($B41,Stammdaten!$A$11:$S$59,O$17,0)),"",VLOOKUP($B41,Stammdaten!$A$11:$S$59,O$17,1)*Fläche)</f>
        <v/>
      </c>
      <c r="P41" s="69" t="str">
        <f>IF(ISNA(VLOOKUP($B41,Stammdaten!$A$11:$S$59,P$17,0)),"",VLOOKUP($B41,Stammdaten!$A$11:$S$59,P$17,0))</f>
        <v/>
      </c>
      <c r="Q41" s="70" t="str">
        <f>IF(ISNA(VLOOKUP($B41,Stammdaten!$A$11:$S$59,Q$17,0)),"",VLOOKUP($B41,Stammdaten!$A$11:$S$59,Q$17,0)*Fläche/1000)</f>
        <v/>
      </c>
      <c r="R41" s="70" t="str">
        <f>IF(ISNA(VLOOKUP($B41,Stammdaten!$A$11:$S$59,R$17,0)),"",VLOOKUP($B41,Stammdaten!$A$11:$S$59,R$17,0)*Fläche/1000)</f>
        <v/>
      </c>
      <c r="S41" s="70" t="str">
        <f>IF(ISNA(VLOOKUP($B41,Stammdaten!$A$11:$S$59,S$17,0)),"",VLOOKUP($B41,Stammdaten!$A$11:$S$59,S$17,0)*Fläche)</f>
        <v/>
      </c>
      <c r="T41" s="250" t="str">
        <f>IF(ISNA(VLOOKUP($B41,Stammdaten!$A$11:$S$59,T$17,0)),"",VLOOKUP($B41,Stammdaten!$A$11:$S$59,T$17,0))</f>
        <v/>
      </c>
      <c r="U41" s="280" t="str">
        <f t="shared" si="1"/>
        <v/>
      </c>
      <c r="V41" s="281" t="str">
        <f>IF(OR(B41=25,B41=26),Ablauf!$D$5,"")</f>
        <v/>
      </c>
      <c r="W41" s="281" t="str">
        <f>IF(OR(B41=25,B41=26),Ablauf!S41,"")</f>
        <v/>
      </c>
      <c r="X41" s="281" t="str">
        <f>IF(OR(B41=33,B41=34),Ablauf!$D$7,"")</f>
        <v/>
      </c>
      <c r="Y41" s="281" t="str">
        <f>IF(OR(B41=33,B41=34),Ablauf!S41,"")</f>
        <v/>
      </c>
      <c r="Z41" s="282" t="str">
        <f t="shared" si="4"/>
        <v/>
      </c>
      <c r="AA41" s="370" t="str">
        <f t="shared" si="5"/>
        <v/>
      </c>
      <c r="AC41" s="433">
        <f>Stammdaten!A32</f>
        <v>32</v>
      </c>
      <c r="AD41" s="434" t="str">
        <f>Stammdaten!C32</f>
        <v>Versand Vorbereitung</v>
      </c>
      <c r="AE41" s="435"/>
      <c r="AF41" s="435"/>
      <c r="AG41" s="435"/>
      <c r="AH41" s="438"/>
      <c r="AI41" s="442"/>
      <c r="AJ41" s="439"/>
      <c r="AK41" s="439"/>
      <c r="AL41" s="439"/>
      <c r="AM41" s="440"/>
      <c r="AN41" s="441"/>
    </row>
    <row r="42" spans="1:40" ht="15" customHeight="1">
      <c r="A42" s="334">
        <f t="shared" si="9"/>
        <v>23</v>
      </c>
      <c r="B42" s="466"/>
      <c r="C42" s="336" t="str">
        <f>IF(ISNA(VLOOKUP(B42,Stammdaten!$A$11:$C$59,$C$17,0)),"",(VLOOKUP(B42,Stammdaten!$A$11:$C$59,$C$17,0)))</f>
        <v/>
      </c>
      <c r="D42" s="464"/>
      <c r="E42" s="369" t="str">
        <f>IF(ISNA(VLOOKUP($B42,Stammdaten!$A$11:$S$59,E$17,0)),"",VLOOKUP($B42,Stammdaten!$A$11:$S$59,E$17,0))</f>
        <v/>
      </c>
      <c r="F42" s="371" t="str">
        <f>IF(ISNA(VLOOKUP($B42,Stammdaten!$A$11:$S$59,F$17,0)),"",VLOOKUP($B42,Stammdaten!$A$11:$S$59,F$17,0))</f>
        <v/>
      </c>
      <c r="G42" s="372" t="str">
        <f>IF(ISNA(VLOOKUP($B42,Stammdaten!$A$11:$S$59,G$17,0)),"",VLOOKUP($B42,Stammdaten!$A$11:$S$59,G$17,0))</f>
        <v/>
      </c>
      <c r="H42" s="373" t="str">
        <f t="shared" si="2"/>
        <v/>
      </c>
      <c r="I42" s="251" t="str">
        <f t="shared" si="0"/>
        <v/>
      </c>
      <c r="J42" s="252" t="str">
        <f>IF(ISNA(VLOOKUP($B42,Stammdaten!$A$11:$S$59,J$17,0)),"",VLOOKUP($B42,Stammdaten!$A$11:$S$59,J$17,0))</f>
        <v/>
      </c>
      <c r="K42" s="252" t="str">
        <f>IF(ISNA(VLOOKUP($B42,Stammdaten!$A$11:$S$59,K$17,0)),"",VLOOKUP($B42,Stammdaten!$A$11:$S$59,K$17,0)*Fläche)</f>
        <v/>
      </c>
      <c r="L42" s="252" t="str">
        <f>IF(ISNA(VLOOKUP($B42,Stammdaten!$A$11:$S$59,L$17,0)),"",VLOOKUP($B42,Stammdaten!$A$11:$S$59,L$17,0)/1000*$A$3*Fläche)</f>
        <v/>
      </c>
      <c r="M42" s="252" t="str">
        <f t="shared" si="3"/>
        <v/>
      </c>
      <c r="N42" s="253" t="str">
        <f>IF(ISNA(VLOOKUP($B42,Stammdaten!$A$11:$S$59,N$17,0)),"",VLOOKUP($B42,Stammdaten!$A$11:$S$59,N$17,0))</f>
        <v/>
      </c>
      <c r="O42" s="252" t="str">
        <f>IF(ISNA(VLOOKUP($B42,Stammdaten!$A$11:$S$59,O$17,0)),"",VLOOKUP($B42,Stammdaten!$A$11:$S$59,O$17,1)*Fläche)</f>
        <v/>
      </c>
      <c r="P42" s="69" t="str">
        <f>IF(ISNA(VLOOKUP($B42,Stammdaten!$A$11:$S$59,P$17,0)),"",VLOOKUP($B42,Stammdaten!$A$11:$S$59,P$17,0))</f>
        <v/>
      </c>
      <c r="Q42" s="70" t="str">
        <f>IF(ISNA(VLOOKUP($B42,Stammdaten!$A$11:$S$59,Q$17,0)),"",VLOOKUP($B42,Stammdaten!$A$11:$S$59,Q$17,0)*Fläche/1000)</f>
        <v/>
      </c>
      <c r="R42" s="70" t="str">
        <f>IF(ISNA(VLOOKUP($B42,Stammdaten!$A$11:$S$59,R$17,0)),"",VLOOKUP($B42,Stammdaten!$A$11:$S$59,R$17,0)*Fläche/1000)</f>
        <v/>
      </c>
      <c r="S42" s="70" t="str">
        <f>IF(ISNA(VLOOKUP($B42,Stammdaten!$A$11:$S$59,S$17,0)),"",VLOOKUP($B42,Stammdaten!$A$11:$S$59,S$17,0)*Fläche)</f>
        <v/>
      </c>
      <c r="T42" s="250" t="str">
        <f>IF(ISNA(VLOOKUP($B42,Stammdaten!$A$11:$S$59,T$17,0)),"",VLOOKUP($B42,Stammdaten!$A$11:$S$59,T$17,0))</f>
        <v/>
      </c>
      <c r="U42" s="280" t="str">
        <f t="shared" si="1"/>
        <v/>
      </c>
      <c r="V42" s="281" t="str">
        <f>IF(OR(B42=25,B42=26),Ablauf!$D$5,"")</f>
        <v/>
      </c>
      <c r="W42" s="281" t="str">
        <f>IF(OR(B42=25,B42=26),Ablauf!S42,"")</f>
        <v/>
      </c>
      <c r="X42" s="281" t="str">
        <f>IF(OR(B42=33,B42=34),Ablauf!$D$7,"")</f>
        <v/>
      </c>
      <c r="Y42" s="281" t="str">
        <f>IF(OR(B42=33,B42=34),Ablauf!S42,"")</f>
        <v/>
      </c>
      <c r="Z42" s="282" t="str">
        <f t="shared" si="4"/>
        <v/>
      </c>
      <c r="AA42" s="370" t="str">
        <f t="shared" si="5"/>
        <v/>
      </c>
      <c r="AC42" s="433">
        <f>Stammdaten!A33</f>
        <v>33</v>
      </c>
      <c r="AD42" s="434" t="str">
        <f>Stammdaten!C33</f>
        <v>Topcoat spritzen</v>
      </c>
      <c r="AE42" s="435"/>
      <c r="AF42" s="435"/>
      <c r="AG42" s="435"/>
      <c r="AH42" s="438"/>
      <c r="AI42" s="442"/>
      <c r="AJ42" s="439"/>
      <c r="AK42" s="439"/>
      <c r="AL42" s="439"/>
      <c r="AM42" s="440"/>
      <c r="AN42" s="441"/>
    </row>
    <row r="43" spans="1:40" ht="15" customHeight="1">
      <c r="A43" s="334">
        <f t="shared" si="9"/>
        <v>24</v>
      </c>
      <c r="B43" s="466"/>
      <c r="C43" s="336" t="str">
        <f>IF(ISNA(VLOOKUP(B43,Stammdaten!$A$11:$C$59,$C$17,0)),"",(VLOOKUP(B43,Stammdaten!$A$11:$C$59,$C$17,0)))</f>
        <v/>
      </c>
      <c r="D43" s="464"/>
      <c r="E43" s="369" t="str">
        <f>IF(ISNA(VLOOKUP($B43,Stammdaten!$A$11:$S$59,E$17,0)),"",VLOOKUP($B43,Stammdaten!$A$11:$S$59,E$17,0))</f>
        <v/>
      </c>
      <c r="F43" s="371" t="str">
        <f>IF(ISNA(VLOOKUP($B43,Stammdaten!$A$11:$S$59,F$17,0)),"",VLOOKUP($B43,Stammdaten!$A$11:$S$59,F$17,0))</f>
        <v/>
      </c>
      <c r="G43" s="372" t="str">
        <f>IF(ISNA(VLOOKUP($B43,Stammdaten!$A$11:$S$59,G$17,0)),"",VLOOKUP($B43,Stammdaten!$A$11:$S$59,G$17,0))</f>
        <v/>
      </c>
      <c r="H43" s="373" t="str">
        <f t="shared" si="2"/>
        <v/>
      </c>
      <c r="I43" s="251" t="str">
        <f t="shared" si="0"/>
        <v/>
      </c>
      <c r="J43" s="252" t="str">
        <f>IF(ISNA(VLOOKUP($B43,Stammdaten!$A$11:$S$59,J$17,0)),"",VLOOKUP($B43,Stammdaten!$A$11:$S$59,J$17,0))</f>
        <v/>
      </c>
      <c r="K43" s="252" t="str">
        <f>IF(ISNA(VLOOKUP($B43,Stammdaten!$A$11:$S$59,K$17,0)),"",VLOOKUP($B43,Stammdaten!$A$11:$S$59,K$17,0)*Fläche)</f>
        <v/>
      </c>
      <c r="L43" s="252" t="str">
        <f>IF(ISNA(VLOOKUP($B43,Stammdaten!$A$11:$S$59,L$17,0)),"",VLOOKUP($B43,Stammdaten!$A$11:$S$59,L$17,0)/1000*$A$3*Fläche)</f>
        <v/>
      </c>
      <c r="M43" s="252" t="str">
        <f t="shared" si="3"/>
        <v/>
      </c>
      <c r="N43" s="253" t="str">
        <f>IF(ISNA(VLOOKUP($B43,Stammdaten!$A$11:$S$59,N$17,0)),"",VLOOKUP($B43,Stammdaten!$A$11:$S$59,N$17,0))</f>
        <v/>
      </c>
      <c r="O43" s="252" t="str">
        <f>IF(ISNA(VLOOKUP($B43,Stammdaten!$A$11:$S$59,O$17,0)),"",VLOOKUP($B43,Stammdaten!$A$11:$S$59,O$17,1)*Fläche)</f>
        <v/>
      </c>
      <c r="P43" s="69" t="str">
        <f>IF(ISNA(VLOOKUP($B43,Stammdaten!$A$11:$S$59,P$17,0)),"",VLOOKUP($B43,Stammdaten!$A$11:$S$59,P$17,0))</f>
        <v/>
      </c>
      <c r="Q43" s="70" t="str">
        <f>IF(ISNA(VLOOKUP($B43,Stammdaten!$A$11:$S$59,Q$17,0)),"",VLOOKUP($B43,Stammdaten!$A$11:$S$59,Q$17,0)*Fläche/1000)</f>
        <v/>
      </c>
      <c r="R43" s="70" t="str">
        <f>IF(ISNA(VLOOKUP($B43,Stammdaten!$A$11:$S$59,R$17,0)),"",VLOOKUP($B43,Stammdaten!$A$11:$S$59,R$17,0)*Fläche/1000)</f>
        <v/>
      </c>
      <c r="S43" s="70" t="str">
        <f>IF(ISNA(VLOOKUP($B43,Stammdaten!$A$11:$S$59,S$17,0)),"",VLOOKUP($B43,Stammdaten!$A$11:$S$59,S$17,0)*Fläche)</f>
        <v/>
      </c>
      <c r="T43" s="250" t="str">
        <f>IF(ISNA(VLOOKUP($B43,Stammdaten!$A$11:$S$59,T$17,0)),"",VLOOKUP($B43,Stammdaten!$A$11:$S$59,T$17,0))</f>
        <v/>
      </c>
      <c r="U43" s="280" t="str">
        <f t="shared" si="1"/>
        <v/>
      </c>
      <c r="V43" s="281" t="str">
        <f>IF(OR(B43=25,B43=26),Ablauf!$D$5,"")</f>
        <v/>
      </c>
      <c r="W43" s="281" t="str">
        <f>IF(OR(B43=25,B43=26),Ablauf!S43,"")</f>
        <v/>
      </c>
      <c r="X43" s="281" t="str">
        <f>IF(OR(B43=33,B43=34),Ablauf!$D$7,"")</f>
        <v/>
      </c>
      <c r="Y43" s="281" t="str">
        <f>IF(OR(B43=33,B43=34),Ablauf!S43,"")</f>
        <v/>
      </c>
      <c r="Z43" s="282" t="str">
        <f t="shared" si="4"/>
        <v/>
      </c>
      <c r="AA43" s="370" t="str">
        <f t="shared" si="5"/>
        <v/>
      </c>
      <c r="AC43" s="433">
        <f>Stammdaten!A34</f>
        <v>34</v>
      </c>
      <c r="AD43" s="434" t="str">
        <f>Stammdaten!C34</f>
        <v>Topcoat streichen</v>
      </c>
      <c r="AE43" s="435"/>
      <c r="AF43" s="435"/>
      <c r="AG43" s="435"/>
      <c r="AH43" s="443"/>
      <c r="AI43" s="442"/>
      <c r="AJ43" s="439"/>
      <c r="AK43" s="439"/>
      <c r="AL43" s="439"/>
      <c r="AM43" s="440"/>
      <c r="AN43" s="441"/>
    </row>
    <row r="44" spans="1:40" ht="15" customHeight="1">
      <c r="A44" s="334">
        <f t="shared" si="9"/>
        <v>25</v>
      </c>
      <c r="B44" s="466"/>
      <c r="C44" s="336" t="str">
        <f>IF(ISNA(VLOOKUP(B44,Stammdaten!$A$11:$C$59,$C$17,0)),"",(VLOOKUP(B44,Stammdaten!$A$11:$C$59,$C$17,0)))</f>
        <v/>
      </c>
      <c r="D44" s="464"/>
      <c r="E44" s="369" t="str">
        <f>IF(ISNA(VLOOKUP($B44,Stammdaten!$A$11:$S$59,E$17,0)),"",VLOOKUP($B44,Stammdaten!$A$11:$S$59,E$17,0))</f>
        <v/>
      </c>
      <c r="F44" s="371" t="str">
        <f>IF(ISNA(VLOOKUP($B44,Stammdaten!$A$11:$S$59,F$17,0)),"",VLOOKUP($B44,Stammdaten!$A$11:$S$59,F$17,0))</f>
        <v/>
      </c>
      <c r="G44" s="372" t="str">
        <f>IF(ISNA(VLOOKUP($B44,Stammdaten!$A$11:$S$59,G$17,0)),"",VLOOKUP($B44,Stammdaten!$A$11:$S$59,G$17,0))</f>
        <v/>
      </c>
      <c r="H44" s="373" t="str">
        <f t="shared" si="2"/>
        <v/>
      </c>
      <c r="I44" s="251" t="str">
        <f t="shared" si="0"/>
        <v/>
      </c>
      <c r="J44" s="252" t="str">
        <f>IF(ISNA(VLOOKUP($B44,Stammdaten!$A$11:$S$59,J$17,0)),"",VLOOKUP($B44,Stammdaten!$A$11:$S$59,J$17,0))</f>
        <v/>
      </c>
      <c r="K44" s="252" t="str">
        <f>IF(ISNA(VLOOKUP($B44,Stammdaten!$A$11:$S$59,K$17,0)),"",VLOOKUP($B44,Stammdaten!$A$11:$S$59,K$17,0)*Fläche)</f>
        <v/>
      </c>
      <c r="L44" s="252" t="str">
        <f>IF(ISNA(VLOOKUP($B44,Stammdaten!$A$11:$S$59,L$17,0)),"",VLOOKUP($B44,Stammdaten!$A$11:$S$59,L$17,0)/1000*$A$3*Fläche)</f>
        <v/>
      </c>
      <c r="M44" s="252" t="str">
        <f t="shared" si="3"/>
        <v/>
      </c>
      <c r="N44" s="253" t="str">
        <f>IF(ISNA(VLOOKUP($B44,Stammdaten!$A$11:$S$59,N$17,0)),"",VLOOKUP($B44,Stammdaten!$A$11:$S$59,N$17,0))</f>
        <v/>
      </c>
      <c r="O44" s="252" t="str">
        <f>IF(ISNA(VLOOKUP($B44,Stammdaten!$A$11:$S$59,O$17,0)),"",VLOOKUP($B44,Stammdaten!$A$11:$S$59,O$17,1)*Fläche)</f>
        <v/>
      </c>
      <c r="P44" s="69" t="str">
        <f>IF(ISNA(VLOOKUP($B44,Stammdaten!$A$11:$S$59,P$17,0)),"",VLOOKUP($B44,Stammdaten!$A$11:$S$59,P$17,0))</f>
        <v/>
      </c>
      <c r="Q44" s="70" t="str">
        <f>IF(ISNA(VLOOKUP($B44,Stammdaten!$A$11:$S$59,Q$17,0)),"",VLOOKUP($B44,Stammdaten!$A$11:$S$59,Q$17,0)*Fläche/1000)</f>
        <v/>
      </c>
      <c r="R44" s="70" t="str">
        <f>IF(ISNA(VLOOKUP($B44,Stammdaten!$A$11:$S$59,R$17,0)),"",VLOOKUP($B44,Stammdaten!$A$11:$S$59,R$17,0)*Fläche/1000)</f>
        <v/>
      </c>
      <c r="S44" s="70" t="str">
        <f>IF(ISNA(VLOOKUP($B44,Stammdaten!$A$11:$S$59,S$17,0)),"",VLOOKUP($B44,Stammdaten!$A$11:$S$59,S$17,0)*Fläche)</f>
        <v/>
      </c>
      <c r="T44" s="250" t="str">
        <f>IF(ISNA(VLOOKUP($B44,Stammdaten!$A$11:$S$59,T$17,0)),"",VLOOKUP($B44,Stammdaten!$A$11:$S$59,T$17,0))</f>
        <v/>
      </c>
      <c r="U44" s="280" t="str">
        <f t="shared" si="1"/>
        <v/>
      </c>
      <c r="V44" s="281" t="str">
        <f>IF(OR(B44=25,B44=26),Ablauf!$D$5,"")</f>
        <v/>
      </c>
      <c r="W44" s="281" t="str">
        <f>IF(OR(B44=25,B44=26),Ablauf!S44,"")</f>
        <v/>
      </c>
      <c r="X44" s="281" t="str">
        <f>IF(OR(B44=33,B44=34),Ablauf!$D$7,"")</f>
        <v/>
      </c>
      <c r="Y44" s="281" t="str">
        <f>IF(OR(B44=33,B44=34),Ablauf!S44,"")</f>
        <v/>
      </c>
      <c r="Z44" s="282" t="str">
        <f t="shared" si="4"/>
        <v/>
      </c>
      <c r="AA44" s="370" t="str">
        <f t="shared" si="5"/>
        <v/>
      </c>
      <c r="AC44" s="433">
        <f>Stammdaten!A35</f>
        <v>35</v>
      </c>
      <c r="AD44" s="434" t="str">
        <f>Stammdaten!C35</f>
        <v>Silikonhaube herstellen</v>
      </c>
      <c r="AE44" s="435"/>
      <c r="AF44" s="435"/>
      <c r="AG44" s="435"/>
      <c r="AH44" s="438"/>
      <c r="AI44" s="442"/>
      <c r="AJ44" s="439"/>
      <c r="AK44" s="439"/>
      <c r="AL44" s="439"/>
      <c r="AM44" s="440"/>
      <c r="AN44" s="441"/>
    </row>
    <row r="45" spans="1:40" ht="15" customHeight="1">
      <c r="A45" s="334">
        <f t="shared" si="9"/>
        <v>26</v>
      </c>
      <c r="B45" s="466"/>
      <c r="C45" s="336" t="str">
        <f>IF(ISNA(VLOOKUP(B45,Stammdaten!$A$11:$C$59,$C$17,0)),"",(VLOOKUP(B45,Stammdaten!$A$11:$C$59,$C$17,0)))</f>
        <v/>
      </c>
      <c r="D45" s="464"/>
      <c r="E45" s="369" t="str">
        <f>IF(ISNA(VLOOKUP($B45,Stammdaten!$A$11:$S$59,E$17,0)),"",VLOOKUP($B45,Stammdaten!$A$11:$S$59,E$17,0))</f>
        <v/>
      </c>
      <c r="F45" s="371" t="str">
        <f>IF(ISNA(VLOOKUP($B45,Stammdaten!$A$11:$S$59,F$17,0)),"",VLOOKUP($B45,Stammdaten!$A$11:$S$59,F$17,0))</f>
        <v/>
      </c>
      <c r="G45" s="372" t="str">
        <f>IF(ISNA(VLOOKUP($B45,Stammdaten!$A$11:$S$59,G$17,0)),"",VLOOKUP($B45,Stammdaten!$A$11:$S$59,G$17,0))</f>
        <v/>
      </c>
      <c r="H45" s="373" t="str">
        <f t="shared" si="2"/>
        <v/>
      </c>
      <c r="I45" s="251" t="str">
        <f t="shared" si="0"/>
        <v/>
      </c>
      <c r="J45" s="252" t="str">
        <f>IF(ISNA(VLOOKUP($B45,Stammdaten!$A$11:$S$59,J$17,0)),"",VLOOKUP($B45,Stammdaten!$A$11:$S$59,J$17,0))</f>
        <v/>
      </c>
      <c r="K45" s="252" t="str">
        <f>IF(ISNA(VLOOKUP($B45,Stammdaten!$A$11:$S$59,K$17,0)),"",VLOOKUP($B45,Stammdaten!$A$11:$S$59,K$17,0)*Fläche)</f>
        <v/>
      </c>
      <c r="L45" s="252" t="str">
        <f>IF(ISNA(VLOOKUP($B45,Stammdaten!$A$11:$S$59,L$17,0)),"",VLOOKUP($B45,Stammdaten!$A$11:$S$59,L$17,0)/1000*$A$3*Fläche)</f>
        <v/>
      </c>
      <c r="M45" s="252" t="str">
        <f t="shared" si="3"/>
        <v/>
      </c>
      <c r="N45" s="253" t="str">
        <f>IF(ISNA(VLOOKUP($B45,Stammdaten!$A$11:$S$59,N$17,0)),"",VLOOKUP($B45,Stammdaten!$A$11:$S$59,N$17,0))</f>
        <v/>
      </c>
      <c r="O45" s="252" t="str">
        <f>IF(ISNA(VLOOKUP($B45,Stammdaten!$A$11:$S$59,O$17,0)),"",VLOOKUP($B45,Stammdaten!$A$11:$S$59,O$17,1)*Fläche)</f>
        <v/>
      </c>
      <c r="P45" s="69" t="str">
        <f>IF(ISNA(VLOOKUP($B45,Stammdaten!$A$11:$S$59,P$17,0)),"",VLOOKUP($B45,Stammdaten!$A$11:$S$59,P$17,0))</f>
        <v/>
      </c>
      <c r="Q45" s="70" t="str">
        <f>IF(ISNA(VLOOKUP($B45,Stammdaten!$A$11:$S$59,Q$17,0)),"",VLOOKUP($B45,Stammdaten!$A$11:$S$59,Q$17,0)*Fläche/1000)</f>
        <v/>
      </c>
      <c r="R45" s="70" t="str">
        <f>IF(ISNA(VLOOKUP($B45,Stammdaten!$A$11:$S$59,R$17,0)),"",VLOOKUP($B45,Stammdaten!$A$11:$S$59,R$17,0)*Fläche/1000)</f>
        <v/>
      </c>
      <c r="S45" s="70" t="str">
        <f>IF(ISNA(VLOOKUP($B45,Stammdaten!$A$11:$S$59,S$17,0)),"",VLOOKUP($B45,Stammdaten!$A$11:$S$59,S$17,0)*Fläche)</f>
        <v/>
      </c>
      <c r="T45" s="250" t="str">
        <f>IF(ISNA(VLOOKUP($B45,Stammdaten!$A$11:$S$59,T$17,0)),"",VLOOKUP($B45,Stammdaten!$A$11:$S$59,T$17,0))</f>
        <v/>
      </c>
      <c r="U45" s="280" t="str">
        <f t="shared" si="1"/>
        <v/>
      </c>
      <c r="V45" s="281" t="str">
        <f>IF(OR(B45=25,B45=26),Ablauf!$D$5,"")</f>
        <v/>
      </c>
      <c r="W45" s="281" t="str">
        <f>IF(OR(B45=25,B45=26),Ablauf!S45,"")</f>
        <v/>
      </c>
      <c r="X45" s="281" t="str">
        <f>IF(OR(B45=33,B45=34),Ablauf!$D$7,"")</f>
        <v/>
      </c>
      <c r="Y45" s="281" t="str">
        <f>IF(OR(B45=33,B45=34),Ablauf!S45,"")</f>
        <v/>
      </c>
      <c r="Z45" s="282" t="str">
        <f t="shared" si="4"/>
        <v/>
      </c>
      <c r="AA45" s="370" t="str">
        <f t="shared" si="5"/>
        <v/>
      </c>
      <c r="AC45" s="433">
        <f>Stammdaten!A36</f>
        <v>36</v>
      </c>
      <c r="AD45" s="434" t="str">
        <f>Stammdaten!C36</f>
        <v>PU-Schaum</v>
      </c>
      <c r="AE45" s="435"/>
      <c r="AF45" s="435"/>
      <c r="AG45" s="435"/>
      <c r="AH45" s="438"/>
      <c r="AI45" s="442"/>
      <c r="AJ45" s="439"/>
      <c r="AK45" s="439"/>
      <c r="AL45" s="439"/>
      <c r="AM45" s="440"/>
      <c r="AN45" s="441"/>
    </row>
    <row r="46" spans="1:40" ht="15" customHeight="1">
      <c r="A46" s="334">
        <f t="shared" si="9"/>
        <v>27</v>
      </c>
      <c r="B46" s="466"/>
      <c r="C46" s="336" t="str">
        <f>IF(ISNA(VLOOKUP(B46,Stammdaten!$A$11:$C$59,$C$17,0)),"",(VLOOKUP(B46,Stammdaten!$A$11:$C$59,$C$17,0)))</f>
        <v/>
      </c>
      <c r="D46" s="464"/>
      <c r="E46" s="369" t="str">
        <f>IF(ISNA(VLOOKUP($B46,Stammdaten!$A$11:$S$59,E$17,0)),"",VLOOKUP($B46,Stammdaten!$A$11:$S$59,E$17,0))</f>
        <v/>
      </c>
      <c r="F46" s="371" t="str">
        <f>IF(ISNA(VLOOKUP($B46,Stammdaten!$A$11:$S$59,F$17,0)),"",VLOOKUP($B46,Stammdaten!$A$11:$S$59,F$17,0))</f>
        <v/>
      </c>
      <c r="G46" s="372" t="str">
        <f>IF(ISNA(VLOOKUP($B46,Stammdaten!$A$11:$S$59,G$17,0)),"",VLOOKUP($B46,Stammdaten!$A$11:$S$59,G$17,0))</f>
        <v/>
      </c>
      <c r="H46" s="373" t="str">
        <f t="shared" si="2"/>
        <v/>
      </c>
      <c r="I46" s="251" t="str">
        <f t="shared" si="0"/>
        <v/>
      </c>
      <c r="J46" s="252" t="str">
        <f>IF(ISNA(VLOOKUP($B46,Stammdaten!$A$11:$S$59,J$17,0)),"",VLOOKUP($B46,Stammdaten!$A$11:$S$59,J$17,0))</f>
        <v/>
      </c>
      <c r="K46" s="252" t="str">
        <f>IF(ISNA(VLOOKUP($B46,Stammdaten!$A$11:$S$59,K$17,0)),"",VLOOKUP($B46,Stammdaten!$A$11:$S$59,K$17,0)*Fläche)</f>
        <v/>
      </c>
      <c r="L46" s="252" t="str">
        <f>IF(ISNA(VLOOKUP($B46,Stammdaten!$A$11:$S$59,L$17,0)),"",VLOOKUP($B46,Stammdaten!$A$11:$S$59,L$17,0)/1000*$A$3*Fläche)</f>
        <v/>
      </c>
      <c r="M46" s="252" t="str">
        <f t="shared" si="3"/>
        <v/>
      </c>
      <c r="N46" s="253" t="str">
        <f>IF(ISNA(VLOOKUP($B46,Stammdaten!$A$11:$S$59,N$17,0)),"",VLOOKUP($B46,Stammdaten!$A$11:$S$59,N$17,0))</f>
        <v/>
      </c>
      <c r="O46" s="252" t="str">
        <f>IF(ISNA(VLOOKUP($B46,Stammdaten!$A$11:$S$59,O$17,0)),"",VLOOKUP($B46,Stammdaten!$A$11:$S$59,O$17,1)*Fläche)</f>
        <v/>
      </c>
      <c r="P46" s="69" t="str">
        <f>IF(ISNA(VLOOKUP($B46,Stammdaten!$A$11:$S$59,P$17,0)),"",VLOOKUP($B46,Stammdaten!$A$11:$S$59,P$17,0))</f>
        <v/>
      </c>
      <c r="Q46" s="70" t="str">
        <f>IF(ISNA(VLOOKUP($B46,Stammdaten!$A$11:$S$59,Q$17,0)),"",VLOOKUP($B46,Stammdaten!$A$11:$S$59,Q$17,0)*Fläche/1000)</f>
        <v/>
      </c>
      <c r="R46" s="70" t="str">
        <f>IF(ISNA(VLOOKUP($B46,Stammdaten!$A$11:$S$59,R$17,0)),"",VLOOKUP($B46,Stammdaten!$A$11:$S$59,R$17,0)*Fläche/1000)</f>
        <v/>
      </c>
      <c r="S46" s="70" t="str">
        <f>IF(ISNA(VLOOKUP($B46,Stammdaten!$A$11:$S$59,S$17,0)),"",VLOOKUP($B46,Stammdaten!$A$11:$S$59,S$17,0)*Fläche)</f>
        <v/>
      </c>
      <c r="T46" s="250" t="str">
        <f>IF(ISNA(VLOOKUP($B46,Stammdaten!$A$11:$S$59,T$17,0)),"",VLOOKUP($B46,Stammdaten!$A$11:$S$59,T$17,0))</f>
        <v/>
      </c>
      <c r="U46" s="280" t="str">
        <f t="shared" si="1"/>
        <v/>
      </c>
      <c r="V46" s="281" t="str">
        <f>IF(OR(B46=25,B46=26),Ablauf!$D$5,"")</f>
        <v/>
      </c>
      <c r="W46" s="281" t="str">
        <f>IF(OR(B46=25,B46=26),Ablauf!S46,"")</f>
        <v/>
      </c>
      <c r="X46" s="281" t="str">
        <f>IF(OR(B46=33,B46=34),Ablauf!$D$7,"")</f>
        <v/>
      </c>
      <c r="Y46" s="281" t="str">
        <f>IF(OR(B46=33,B46=34),Ablauf!S46,"")</f>
        <v/>
      </c>
      <c r="Z46" s="282" t="str">
        <f t="shared" si="4"/>
        <v/>
      </c>
      <c r="AA46" s="370" t="str">
        <f t="shared" si="5"/>
        <v/>
      </c>
      <c r="AC46" s="433">
        <f>Stammdaten!A37</f>
        <v>37</v>
      </c>
      <c r="AD46" s="434" t="str">
        <f>Stammdaten!C37</f>
        <v>Preforming</v>
      </c>
      <c r="AE46" s="435"/>
      <c r="AF46" s="435"/>
      <c r="AG46" s="435"/>
      <c r="AH46" s="438"/>
      <c r="AI46" s="444"/>
      <c r="AJ46" s="439"/>
      <c r="AK46" s="439"/>
      <c r="AL46" s="439"/>
      <c r="AM46" s="440"/>
      <c r="AN46" s="441"/>
    </row>
    <row r="47" spans="1:40" ht="16.5">
      <c r="A47" s="334">
        <f t="shared" si="9"/>
        <v>28</v>
      </c>
      <c r="B47" s="466"/>
      <c r="C47" s="336" t="str">
        <f>IF(ISNA(VLOOKUP(B47,Stammdaten!$A$11:$C$59,$C$17,0)),"",(VLOOKUP(B47,Stammdaten!$A$11:$C$59,$C$17,0)))</f>
        <v/>
      </c>
      <c r="D47" s="464"/>
      <c r="E47" s="369" t="str">
        <f>IF(ISNA(VLOOKUP($B47,Stammdaten!$A$11:$S$59,E$17,0)),"",VLOOKUP($B47,Stammdaten!$A$11:$S$59,E$17,0))</f>
        <v/>
      </c>
      <c r="F47" s="371" t="str">
        <f>IF(ISNA(VLOOKUP($B47,Stammdaten!$A$11:$S$59,F$17,0)),"",VLOOKUP($B47,Stammdaten!$A$11:$S$59,F$17,0))</f>
        <v/>
      </c>
      <c r="G47" s="372" t="str">
        <f>IF(ISNA(VLOOKUP($B47,Stammdaten!$A$11:$S$59,G$17,0)),"",VLOOKUP($B47,Stammdaten!$A$11:$S$59,G$17,0))</f>
        <v/>
      </c>
      <c r="H47" s="373" t="str">
        <f t="shared" si="2"/>
        <v/>
      </c>
      <c r="I47" s="251" t="str">
        <f t="shared" si="0"/>
        <v/>
      </c>
      <c r="J47" s="252" t="str">
        <f>IF(ISNA(VLOOKUP($B47,Stammdaten!$A$11:$S$59,J$17,0)),"",VLOOKUP($B47,Stammdaten!$A$11:$S$59,J$17,0))</f>
        <v/>
      </c>
      <c r="K47" s="252" t="str">
        <f>IF(ISNA(VLOOKUP($B47,Stammdaten!$A$11:$S$59,K$17,0)),"",VLOOKUP($B47,Stammdaten!$A$11:$S$59,K$17,0)*Fläche)</f>
        <v/>
      </c>
      <c r="L47" s="252" t="str">
        <f>IF(ISNA(VLOOKUP($B47,Stammdaten!$A$11:$S$59,L$17,0)),"",VLOOKUP($B47,Stammdaten!$A$11:$S$59,L$17,0)/1000*$A$3*Fläche)</f>
        <v/>
      </c>
      <c r="M47" s="252" t="str">
        <f t="shared" si="3"/>
        <v/>
      </c>
      <c r="N47" s="253" t="str">
        <f>IF(ISNA(VLOOKUP($B47,Stammdaten!$A$11:$S$59,N$17,0)),"",VLOOKUP($B47,Stammdaten!$A$11:$S$59,N$17,0))</f>
        <v/>
      </c>
      <c r="O47" s="252" t="str">
        <f>IF(ISNA(VLOOKUP($B47,Stammdaten!$A$11:$S$59,O$17,0)),"",VLOOKUP($B47,Stammdaten!$A$11:$S$59,O$17,1)*Fläche)</f>
        <v/>
      </c>
      <c r="P47" s="69" t="str">
        <f>IF(ISNA(VLOOKUP($B47,Stammdaten!$A$11:$S$59,P$17,0)),"",VLOOKUP($B47,Stammdaten!$A$11:$S$59,P$17,0))</f>
        <v/>
      </c>
      <c r="Q47" s="70" t="str">
        <f>IF(ISNA(VLOOKUP($B47,Stammdaten!$A$11:$S$59,Q$17,0)),"",VLOOKUP($B47,Stammdaten!$A$11:$S$59,Q$17,0)*Fläche/1000)</f>
        <v/>
      </c>
      <c r="R47" s="70" t="str">
        <f>IF(ISNA(VLOOKUP($B47,Stammdaten!$A$11:$S$59,R$17,0)),"",VLOOKUP($B47,Stammdaten!$A$11:$S$59,R$17,0)*Fläche/1000)</f>
        <v/>
      </c>
      <c r="S47" s="70" t="str">
        <f>IF(ISNA(VLOOKUP($B47,Stammdaten!$A$11:$S$59,S$17,0)),"",VLOOKUP($B47,Stammdaten!$A$11:$S$59,S$17,0)*Fläche)</f>
        <v/>
      </c>
      <c r="T47" s="250" t="str">
        <f>IF(ISNA(VLOOKUP($B47,Stammdaten!$A$11:$S$59,T$17,0)),"",VLOOKUP($B47,Stammdaten!$A$11:$S$59,T$17,0))</f>
        <v/>
      </c>
      <c r="U47" s="280" t="str">
        <f t="shared" si="1"/>
        <v/>
      </c>
      <c r="V47" s="281" t="str">
        <f>IF(OR(B47=25,B47=26),Ablauf!$D$5,"")</f>
        <v/>
      </c>
      <c r="W47" s="281" t="str">
        <f>IF(OR(B47=25,B47=26),Ablauf!S47,"")</f>
        <v/>
      </c>
      <c r="X47" s="281" t="str">
        <f>IF(OR(B47=33,B47=34),Ablauf!$D$7,"")</f>
        <v/>
      </c>
      <c r="Y47" s="281" t="str">
        <f>IF(OR(B47=33,B47=34),Ablauf!S47,"")</f>
        <v/>
      </c>
      <c r="Z47" s="282" t="str">
        <f t="shared" si="4"/>
        <v/>
      </c>
      <c r="AA47" s="370" t="str">
        <f t="shared" si="5"/>
        <v/>
      </c>
      <c r="AB47" s="49"/>
      <c r="AC47" s="433">
        <f>Stammdaten!A38</f>
        <v>38</v>
      </c>
      <c r="AD47" s="434" t="str">
        <f>Stammdaten!C38</f>
        <v>VAP Aufbau vorbereiten</v>
      </c>
      <c r="AE47" s="435"/>
      <c r="AF47" s="435"/>
      <c r="AG47" s="435"/>
      <c r="AH47" s="438"/>
      <c r="AI47" s="444"/>
      <c r="AJ47" s="439"/>
      <c r="AK47" s="439"/>
      <c r="AL47" s="439"/>
      <c r="AM47" s="440"/>
      <c r="AN47" s="441"/>
    </row>
    <row r="48" spans="1:40" ht="16.5">
      <c r="A48" s="334">
        <f t="shared" si="9"/>
        <v>29</v>
      </c>
      <c r="B48" s="466"/>
      <c r="C48" s="336" t="str">
        <f>IF(ISNA(VLOOKUP(B48,Stammdaten!$A$11:$C$59,$C$17,0)),"",(VLOOKUP(B48,Stammdaten!$A$11:$C$59,$C$17,0)))</f>
        <v/>
      </c>
      <c r="D48" s="464"/>
      <c r="E48" s="369" t="str">
        <f>IF(ISNA(VLOOKUP($B48,Stammdaten!$A$11:$S$59,E$17,0)),"",VLOOKUP($B48,Stammdaten!$A$11:$S$59,E$17,0))</f>
        <v/>
      </c>
      <c r="F48" s="371" t="str">
        <f>IF(ISNA(VLOOKUP($B48,Stammdaten!$A$11:$S$59,F$17,0)),"",VLOOKUP($B48,Stammdaten!$A$11:$S$59,F$17,0))</f>
        <v/>
      </c>
      <c r="G48" s="372" t="str">
        <f>IF(ISNA(VLOOKUP($B48,Stammdaten!$A$11:$S$59,G$17,0)),"",VLOOKUP($B48,Stammdaten!$A$11:$S$59,G$17,0))</f>
        <v/>
      </c>
      <c r="H48" s="373" t="str">
        <f t="shared" si="2"/>
        <v/>
      </c>
      <c r="I48" s="251" t="str">
        <f t="shared" si="0"/>
        <v/>
      </c>
      <c r="J48" s="252" t="str">
        <f>IF(ISNA(VLOOKUP($B48,Stammdaten!$A$11:$S$59,J$17,0)),"",VLOOKUP($B48,Stammdaten!$A$11:$S$59,J$17,0))</f>
        <v/>
      </c>
      <c r="K48" s="252" t="str">
        <f>IF(ISNA(VLOOKUP($B48,Stammdaten!$A$11:$S$59,K$17,0)),"",VLOOKUP($B48,Stammdaten!$A$11:$S$59,K$17,0)*Fläche)</f>
        <v/>
      </c>
      <c r="L48" s="252" t="str">
        <f>IF(ISNA(VLOOKUP($B48,Stammdaten!$A$11:$S$59,L$17,0)),"",VLOOKUP($B48,Stammdaten!$A$11:$S$59,L$17,0)/1000*$A$3*Fläche)</f>
        <v/>
      </c>
      <c r="M48" s="252" t="str">
        <f t="shared" si="3"/>
        <v/>
      </c>
      <c r="N48" s="253" t="str">
        <f>IF(ISNA(VLOOKUP($B48,Stammdaten!$A$11:$S$59,N$17,0)),"",VLOOKUP($B48,Stammdaten!$A$11:$S$59,N$17,0))</f>
        <v/>
      </c>
      <c r="O48" s="252" t="str">
        <f>IF(ISNA(VLOOKUP($B48,Stammdaten!$A$11:$S$59,O$17,0)),"",VLOOKUP($B48,Stammdaten!$A$11:$S$59,O$17,1)*Fläche)</f>
        <v/>
      </c>
      <c r="P48" s="69" t="str">
        <f>IF(ISNA(VLOOKUP($B48,Stammdaten!$A$11:$S$59,P$17,0)),"",VLOOKUP($B48,Stammdaten!$A$11:$S$59,P$17,0))</f>
        <v/>
      </c>
      <c r="Q48" s="70" t="str">
        <f>IF(ISNA(VLOOKUP($B48,Stammdaten!$A$11:$S$59,Q$17,0)),"",VLOOKUP($B48,Stammdaten!$A$11:$S$59,Q$17,0)*Fläche/1000)</f>
        <v/>
      </c>
      <c r="R48" s="70" t="str">
        <f>IF(ISNA(VLOOKUP($B48,Stammdaten!$A$11:$S$59,R$17,0)),"",VLOOKUP($B48,Stammdaten!$A$11:$S$59,R$17,0)*Fläche/1000)</f>
        <v/>
      </c>
      <c r="S48" s="70" t="str">
        <f>IF(ISNA(VLOOKUP($B48,Stammdaten!$A$11:$S$59,S$17,0)),"",VLOOKUP($B48,Stammdaten!$A$11:$S$59,S$17,0)*Fläche)</f>
        <v/>
      </c>
      <c r="T48" s="250" t="str">
        <f>IF(ISNA(VLOOKUP($B48,Stammdaten!$A$11:$S$59,T$17,0)),"",VLOOKUP($B48,Stammdaten!$A$11:$S$59,T$17,0))</f>
        <v/>
      </c>
      <c r="U48" s="280" t="str">
        <f t="shared" si="1"/>
        <v/>
      </c>
      <c r="V48" s="281" t="str">
        <f>IF(OR(B48=25,B48=26),Ablauf!$D$5,"")</f>
        <v/>
      </c>
      <c r="W48" s="281" t="str">
        <f>IF(OR(B48=25,B48=26),Ablauf!S48,"")</f>
        <v/>
      </c>
      <c r="X48" s="281" t="str">
        <f>IF(OR(B48=33,B48=34),Ablauf!$D$7,"")</f>
        <v/>
      </c>
      <c r="Y48" s="281" t="str">
        <f>IF(OR(B48=33,B48=34),Ablauf!S48,"")</f>
        <v/>
      </c>
      <c r="Z48" s="282" t="str">
        <f t="shared" si="4"/>
        <v/>
      </c>
      <c r="AA48" s="370" t="str">
        <f t="shared" si="5"/>
        <v/>
      </c>
      <c r="AB48" s="49"/>
      <c r="AC48" s="433">
        <f>Stammdaten!A39</f>
        <v>39</v>
      </c>
      <c r="AD48" s="434" t="str">
        <f>Stammdaten!C39</f>
        <v>VARI Aufbau vorbereiten</v>
      </c>
      <c r="AE48" s="435"/>
      <c r="AF48" s="435"/>
      <c r="AG48" s="435"/>
      <c r="AH48" s="438"/>
      <c r="AI48" s="444"/>
      <c r="AJ48" s="439"/>
      <c r="AK48" s="439"/>
      <c r="AL48" s="439"/>
      <c r="AM48" s="440"/>
      <c r="AN48" s="441"/>
    </row>
    <row r="49" spans="1:40" ht="16.5">
      <c r="A49" s="334">
        <f t="shared" si="9"/>
        <v>30</v>
      </c>
      <c r="B49" s="466"/>
      <c r="C49" s="336" t="str">
        <f>IF(ISNA(VLOOKUP(B49,Stammdaten!$A$11:$C$59,$C$17,0)),"",(VLOOKUP(B49,Stammdaten!$A$11:$C$59,$C$17,0)))</f>
        <v/>
      </c>
      <c r="D49" s="464"/>
      <c r="E49" s="369" t="str">
        <f>IF(ISNA(VLOOKUP($B49,Stammdaten!$A$11:$S$59,E$17,0)),"",VLOOKUP($B49,Stammdaten!$A$11:$S$59,E$17,0))</f>
        <v/>
      </c>
      <c r="F49" s="371" t="str">
        <f>IF(ISNA(VLOOKUP($B49,Stammdaten!$A$11:$S$59,F$17,0)),"",VLOOKUP($B49,Stammdaten!$A$11:$S$59,F$17,0))</f>
        <v/>
      </c>
      <c r="G49" s="372" t="str">
        <f>IF(ISNA(VLOOKUP($B49,Stammdaten!$A$11:$S$59,G$17,0)),"",VLOOKUP($B49,Stammdaten!$A$11:$S$59,G$17,0))</f>
        <v/>
      </c>
      <c r="H49" s="373" t="str">
        <f t="shared" si="2"/>
        <v/>
      </c>
      <c r="I49" s="251" t="str">
        <f t="shared" si="0"/>
        <v/>
      </c>
      <c r="J49" s="252" t="str">
        <f>IF(ISNA(VLOOKUP($B49,Stammdaten!$A$11:$S$59,J$17,0)),"",VLOOKUP($B49,Stammdaten!$A$11:$S$59,J$17,0))</f>
        <v/>
      </c>
      <c r="K49" s="252" t="str">
        <f>IF(ISNA(VLOOKUP($B49,Stammdaten!$A$11:$S$59,K$17,0)),"",VLOOKUP($B49,Stammdaten!$A$11:$S$59,K$17,0)*Fläche)</f>
        <v/>
      </c>
      <c r="L49" s="252" t="str">
        <f>IF(ISNA(VLOOKUP($B49,Stammdaten!$A$11:$S$59,L$17,0)),"",VLOOKUP($B49,Stammdaten!$A$11:$S$59,L$17,0)/1000*$A$3*Fläche)</f>
        <v/>
      </c>
      <c r="M49" s="252" t="str">
        <f t="shared" si="3"/>
        <v/>
      </c>
      <c r="N49" s="253" t="str">
        <f>IF(ISNA(VLOOKUP($B49,Stammdaten!$A$11:$S$59,N$17,0)),"",VLOOKUP($B49,Stammdaten!$A$11:$S$59,N$17,0))</f>
        <v/>
      </c>
      <c r="O49" s="252" t="str">
        <f>IF(ISNA(VLOOKUP($B49,Stammdaten!$A$11:$S$59,O$17,0)),"",VLOOKUP($B49,Stammdaten!$A$11:$S$59,O$17,1)*Fläche)</f>
        <v/>
      </c>
      <c r="P49" s="69" t="str">
        <f>IF(ISNA(VLOOKUP($B49,Stammdaten!$A$11:$S$59,P$17,0)),"",VLOOKUP($B49,Stammdaten!$A$11:$S$59,P$17,0))</f>
        <v/>
      </c>
      <c r="Q49" s="70" t="str">
        <f>IF(ISNA(VLOOKUP($B49,Stammdaten!$A$11:$S$59,Q$17,0)),"",VLOOKUP($B49,Stammdaten!$A$11:$S$59,Q$17,0)*Fläche/1000)</f>
        <v/>
      </c>
      <c r="R49" s="70" t="str">
        <f>IF(ISNA(VLOOKUP($B49,Stammdaten!$A$11:$S$59,R$17,0)),"",VLOOKUP($B49,Stammdaten!$A$11:$S$59,R$17,0)*Fläche/1000)</f>
        <v/>
      </c>
      <c r="S49" s="70" t="str">
        <f>IF(ISNA(VLOOKUP($B49,Stammdaten!$A$11:$S$59,S$17,0)),"",VLOOKUP($B49,Stammdaten!$A$11:$S$59,S$17,0)*Fläche)</f>
        <v/>
      </c>
      <c r="T49" s="250" t="str">
        <f>IF(ISNA(VLOOKUP($B49,Stammdaten!$A$11:$S$59,T$17,0)),"",VLOOKUP($B49,Stammdaten!$A$11:$S$59,T$17,0))</f>
        <v/>
      </c>
      <c r="U49" s="280" t="str">
        <f t="shared" si="1"/>
        <v/>
      </c>
      <c r="V49" s="281" t="str">
        <f>IF(OR(B49=25,B49=26),Ablauf!$D$5,"")</f>
        <v/>
      </c>
      <c r="W49" s="281" t="str">
        <f>IF(OR(B49=25,B49=26),Ablauf!S49,"")</f>
        <v/>
      </c>
      <c r="X49" s="281" t="str">
        <f>IF(OR(B49=33,B49=34),Ablauf!$D$7,"")</f>
        <v/>
      </c>
      <c r="Y49" s="281" t="str">
        <f>IF(OR(B49=33,B49=34),Ablauf!S49,"")</f>
        <v/>
      </c>
      <c r="Z49" s="282" t="str">
        <f t="shared" si="4"/>
        <v/>
      </c>
      <c r="AA49" s="370" t="str">
        <f t="shared" si="5"/>
        <v/>
      </c>
      <c r="AB49" s="57"/>
      <c r="AC49" s="433">
        <f>Stammdaten!A40</f>
        <v>40</v>
      </c>
      <c r="AD49" s="434" t="str">
        <f>Stammdaten!C40</f>
        <v>RTM Aufbau vorbereiten</v>
      </c>
      <c r="AE49" s="435"/>
      <c r="AF49" s="435"/>
      <c r="AG49" s="435"/>
      <c r="AH49" s="438"/>
      <c r="AI49" s="444"/>
      <c r="AJ49" s="439"/>
      <c r="AK49" s="439"/>
      <c r="AL49" s="439"/>
      <c r="AM49" s="440"/>
      <c r="AN49" s="441"/>
    </row>
    <row r="50" spans="1:40" ht="16.5">
      <c r="A50" s="334">
        <f t="shared" si="9"/>
        <v>31</v>
      </c>
      <c r="B50" s="466"/>
      <c r="C50" s="336" t="str">
        <f>IF(ISNA(VLOOKUP(B50,Stammdaten!$A$11:$C$59,$C$17,0)),"",(VLOOKUP(B50,Stammdaten!$A$11:$C$59,$C$17,0)))</f>
        <v/>
      </c>
      <c r="D50" s="464"/>
      <c r="E50" s="369" t="str">
        <f>IF(ISNA(VLOOKUP($B50,Stammdaten!$A$11:$S$59,E$17,0)),"",VLOOKUP($B50,Stammdaten!$A$11:$S$59,E$17,0))</f>
        <v/>
      </c>
      <c r="F50" s="371" t="str">
        <f>IF(ISNA(VLOOKUP($B50,Stammdaten!$A$11:$S$59,F$17,0)),"",VLOOKUP($B50,Stammdaten!$A$11:$S$59,F$17,0))</f>
        <v/>
      </c>
      <c r="G50" s="372" t="str">
        <f>IF(ISNA(VLOOKUP($B50,Stammdaten!$A$11:$S$59,G$17,0)),"",VLOOKUP($B50,Stammdaten!$A$11:$S$59,G$17,0))</f>
        <v/>
      </c>
      <c r="H50" s="373" t="str">
        <f t="shared" si="2"/>
        <v/>
      </c>
      <c r="I50" s="251" t="str">
        <f t="shared" si="0"/>
        <v/>
      </c>
      <c r="J50" s="252" t="str">
        <f>IF(ISNA(VLOOKUP($B50,Stammdaten!$A$11:$S$59,J$17,0)),"",VLOOKUP($B50,Stammdaten!$A$11:$S$59,J$17,0))</f>
        <v/>
      </c>
      <c r="K50" s="252" t="str">
        <f>IF(ISNA(VLOOKUP($B50,Stammdaten!$A$11:$S$59,K$17,0)),"",VLOOKUP($B50,Stammdaten!$A$11:$S$59,K$17,0)*Fläche)</f>
        <v/>
      </c>
      <c r="L50" s="252" t="str">
        <f>IF(ISNA(VLOOKUP($B50,Stammdaten!$A$11:$S$59,L$17,0)),"",VLOOKUP($B50,Stammdaten!$A$11:$S$59,L$17,0)/1000*$A$3*Fläche)</f>
        <v/>
      </c>
      <c r="M50" s="252" t="str">
        <f t="shared" si="3"/>
        <v/>
      </c>
      <c r="N50" s="253" t="str">
        <f>IF(ISNA(VLOOKUP($B50,Stammdaten!$A$11:$S$59,N$17,0)),"",VLOOKUP($B50,Stammdaten!$A$11:$S$59,N$17,0))</f>
        <v/>
      </c>
      <c r="O50" s="252" t="str">
        <f>IF(ISNA(VLOOKUP($B50,Stammdaten!$A$11:$S$59,O$17,0)),"",VLOOKUP($B50,Stammdaten!$A$11:$S$59,O$17,1)*Fläche)</f>
        <v/>
      </c>
      <c r="P50" s="69" t="str">
        <f>IF(ISNA(VLOOKUP($B50,Stammdaten!$A$11:$S$59,P$17,0)),"",VLOOKUP($B50,Stammdaten!$A$11:$S$59,P$17,0))</f>
        <v/>
      </c>
      <c r="Q50" s="70" t="str">
        <f>IF(ISNA(VLOOKUP($B50,Stammdaten!$A$11:$S$59,Q$17,0)),"",VLOOKUP($B50,Stammdaten!$A$11:$S$59,Q$17,0)*Fläche/1000)</f>
        <v/>
      </c>
      <c r="R50" s="70" t="str">
        <f>IF(ISNA(VLOOKUP($B50,Stammdaten!$A$11:$S$59,R$17,0)),"",VLOOKUP($B50,Stammdaten!$A$11:$S$59,R$17,0)*Fläche/1000)</f>
        <v/>
      </c>
      <c r="S50" s="70" t="str">
        <f>IF(ISNA(VLOOKUP($B50,Stammdaten!$A$11:$S$59,S$17,0)),"",VLOOKUP($B50,Stammdaten!$A$11:$S$59,S$17,0)*Fläche)</f>
        <v/>
      </c>
      <c r="T50" s="250" t="str">
        <f>IF(ISNA(VLOOKUP($B50,Stammdaten!$A$11:$S$59,T$17,0)),"",VLOOKUP($B50,Stammdaten!$A$11:$S$59,T$17,0))</f>
        <v/>
      </c>
      <c r="U50" s="280" t="str">
        <f t="shared" si="1"/>
        <v/>
      </c>
      <c r="V50" s="281" t="str">
        <f>IF(OR(B50=25,B50=26),Ablauf!$D$5,"")</f>
        <v/>
      </c>
      <c r="W50" s="281" t="str">
        <f>IF(OR(B50=25,B50=26),Ablauf!S50,"")</f>
        <v/>
      </c>
      <c r="X50" s="281" t="str">
        <f>IF(OR(B50=33,B50=34),Ablauf!$D$7,"")</f>
        <v/>
      </c>
      <c r="Y50" s="281" t="str">
        <f>IF(OR(B50=33,B50=34),Ablauf!S50,"")</f>
        <v/>
      </c>
      <c r="Z50" s="282" t="str">
        <f t="shared" si="4"/>
        <v/>
      </c>
      <c r="AA50" s="370" t="str">
        <f t="shared" si="5"/>
        <v/>
      </c>
      <c r="AB50" s="57"/>
      <c r="AC50" s="433">
        <f>Stammdaten!A41</f>
        <v>41</v>
      </c>
      <c r="AD50" s="434">
        <f>Stammdaten!C41</f>
        <v>0</v>
      </c>
      <c r="AE50" s="435"/>
      <c r="AF50" s="435"/>
      <c r="AG50" s="435"/>
      <c r="AH50" s="438"/>
      <c r="AI50" s="444"/>
      <c r="AJ50" s="439"/>
      <c r="AK50" s="439"/>
      <c r="AL50" s="439"/>
      <c r="AM50" s="440"/>
      <c r="AN50" s="441"/>
    </row>
    <row r="51" spans="1:40" ht="16.5">
      <c r="A51" s="334">
        <f t="shared" si="9"/>
        <v>32</v>
      </c>
      <c r="B51" s="466"/>
      <c r="C51" s="336" t="str">
        <f>IF(ISNA(VLOOKUP(B51,Stammdaten!$A$11:$C$59,$C$17,0)),"",(VLOOKUP(B51,Stammdaten!$A$11:$C$59,$C$17,0)))</f>
        <v/>
      </c>
      <c r="D51" s="464"/>
      <c r="E51" s="369" t="str">
        <f>IF(ISNA(VLOOKUP($B51,Stammdaten!$A$11:$S$59,E$17,0)),"",VLOOKUP($B51,Stammdaten!$A$11:$S$59,E$17,0))</f>
        <v/>
      </c>
      <c r="F51" s="371" t="str">
        <f>IF(ISNA(VLOOKUP($B51,Stammdaten!$A$11:$S$59,F$17,0)),"",VLOOKUP($B51,Stammdaten!$A$11:$S$59,F$17,0))</f>
        <v/>
      </c>
      <c r="G51" s="372" t="str">
        <f>IF(ISNA(VLOOKUP($B51,Stammdaten!$A$11:$S$59,G$17,0)),"",VLOOKUP($B51,Stammdaten!$A$11:$S$59,G$17,0))</f>
        <v/>
      </c>
      <c r="H51" s="373" t="str">
        <f t="shared" si="2"/>
        <v/>
      </c>
      <c r="I51" s="251" t="str">
        <f t="shared" si="0"/>
        <v/>
      </c>
      <c r="J51" s="252" t="str">
        <f>IF(ISNA(VLOOKUP($B51,Stammdaten!$A$11:$S$59,J$17,0)),"",VLOOKUP($B51,Stammdaten!$A$11:$S$59,J$17,0))</f>
        <v/>
      </c>
      <c r="K51" s="252" t="str">
        <f>IF(ISNA(VLOOKUP($B51,Stammdaten!$A$11:$S$59,K$17,0)),"",VLOOKUP($B51,Stammdaten!$A$11:$S$59,K$17,0)*Fläche)</f>
        <v/>
      </c>
      <c r="L51" s="252" t="str">
        <f>IF(ISNA(VLOOKUP($B51,Stammdaten!$A$11:$S$59,L$17,0)),"",VLOOKUP($B51,Stammdaten!$A$11:$S$59,L$17,0)/1000*$A$3*Fläche)</f>
        <v/>
      </c>
      <c r="M51" s="252" t="str">
        <f t="shared" si="3"/>
        <v/>
      </c>
      <c r="N51" s="253" t="str">
        <f>IF(ISNA(VLOOKUP($B51,Stammdaten!$A$11:$S$59,N$17,0)),"",VLOOKUP($B51,Stammdaten!$A$11:$S$59,N$17,0))</f>
        <v/>
      </c>
      <c r="O51" s="252" t="str">
        <f>IF(ISNA(VLOOKUP($B51,Stammdaten!$A$11:$S$59,O$17,0)),"",VLOOKUP($B51,Stammdaten!$A$11:$S$59,O$17,1)*Fläche)</f>
        <v/>
      </c>
      <c r="P51" s="69" t="str">
        <f>IF(ISNA(VLOOKUP($B51,Stammdaten!$A$11:$S$59,P$17,0)),"",VLOOKUP($B51,Stammdaten!$A$11:$S$59,P$17,0))</f>
        <v/>
      </c>
      <c r="Q51" s="70" t="str">
        <f>IF(ISNA(VLOOKUP($B51,Stammdaten!$A$11:$S$59,Q$17,0)),"",VLOOKUP($B51,Stammdaten!$A$11:$S$59,Q$17,0)*Fläche/1000)</f>
        <v/>
      </c>
      <c r="R51" s="70" t="str">
        <f>IF(ISNA(VLOOKUP($B51,Stammdaten!$A$11:$S$59,R$17,0)),"",VLOOKUP($B51,Stammdaten!$A$11:$S$59,R$17,0)*Fläche/1000)</f>
        <v/>
      </c>
      <c r="S51" s="70" t="str">
        <f>IF(ISNA(VLOOKUP($B51,Stammdaten!$A$11:$S$59,S$17,0)),"",VLOOKUP($B51,Stammdaten!$A$11:$S$59,S$17,0)*Fläche)</f>
        <v/>
      </c>
      <c r="T51" s="250" t="str">
        <f>IF(ISNA(VLOOKUP($B51,Stammdaten!$A$11:$S$59,T$17,0)),"",VLOOKUP($B51,Stammdaten!$A$11:$S$59,T$17,0))</f>
        <v/>
      </c>
      <c r="U51" s="280" t="str">
        <f t="shared" si="1"/>
        <v/>
      </c>
      <c r="V51" s="281" t="str">
        <f>IF(OR(B51=25,B51=26),Ablauf!$D$5,"")</f>
        <v/>
      </c>
      <c r="W51" s="281" t="str">
        <f>IF(OR(B51=25,B51=26),Ablauf!S51,"")</f>
        <v/>
      </c>
      <c r="X51" s="281" t="str">
        <f>IF(OR(B51=33,B51=34),Ablauf!$D$7,"")</f>
        <v/>
      </c>
      <c r="Y51" s="281" t="str">
        <f>IF(OR(B51=33,B51=34),Ablauf!S51,"")</f>
        <v/>
      </c>
      <c r="Z51" s="282" t="str">
        <f t="shared" si="4"/>
        <v/>
      </c>
      <c r="AA51" s="370" t="str">
        <f t="shared" si="5"/>
        <v/>
      </c>
      <c r="AB51" s="49"/>
      <c r="AC51" s="433">
        <f>Stammdaten!A42</f>
        <v>42</v>
      </c>
      <c r="AD51" s="434">
        <f>Stammdaten!C42</f>
        <v>0</v>
      </c>
      <c r="AE51" s="435"/>
      <c r="AF51" s="435"/>
      <c r="AG51" s="435"/>
      <c r="AH51" s="438"/>
      <c r="AI51" s="444"/>
      <c r="AJ51" s="439"/>
      <c r="AK51" s="439"/>
      <c r="AL51" s="439"/>
      <c r="AM51" s="440"/>
      <c r="AN51" s="441"/>
    </row>
    <row r="52" spans="1:40" ht="16.5">
      <c r="A52" s="334">
        <f t="shared" si="9"/>
        <v>33</v>
      </c>
      <c r="B52" s="466"/>
      <c r="C52" s="336" t="str">
        <f>IF(ISNA(VLOOKUP(B52,Stammdaten!$A$11:$C$59,$C$17,0)),"",(VLOOKUP(B52,Stammdaten!$A$11:$C$59,$C$17,0)))</f>
        <v/>
      </c>
      <c r="D52" s="464"/>
      <c r="E52" s="369" t="str">
        <f>IF(ISNA(VLOOKUP($B52,Stammdaten!$A$11:$S$59,E$17,0)),"",VLOOKUP($B52,Stammdaten!$A$11:$S$59,E$17,0))</f>
        <v/>
      </c>
      <c r="F52" s="371" t="str">
        <f>IF(ISNA(VLOOKUP($B52,Stammdaten!$A$11:$S$59,F$17,0)),"",VLOOKUP($B52,Stammdaten!$A$11:$S$59,F$17,0))</f>
        <v/>
      </c>
      <c r="G52" s="372" t="str">
        <f>IF(ISNA(VLOOKUP($B52,Stammdaten!$A$11:$S$59,G$17,0)),"",VLOOKUP($B52,Stammdaten!$A$11:$S$59,G$17,0))</f>
        <v/>
      </c>
      <c r="H52" s="373" t="str">
        <f t="shared" si="2"/>
        <v/>
      </c>
      <c r="I52" s="251" t="str">
        <f t="shared" si="0"/>
        <v/>
      </c>
      <c r="J52" s="252" t="str">
        <f>IF(ISNA(VLOOKUP($B52,Stammdaten!$A$11:$S$59,J$17,0)),"",VLOOKUP($B52,Stammdaten!$A$11:$S$59,J$17,0))</f>
        <v/>
      </c>
      <c r="K52" s="252" t="str">
        <f>IF(ISNA(VLOOKUP($B52,Stammdaten!$A$11:$S$59,K$17,0)),"",VLOOKUP($B52,Stammdaten!$A$11:$S$59,K$17,0)*Fläche)</f>
        <v/>
      </c>
      <c r="L52" s="252" t="str">
        <f>IF(ISNA(VLOOKUP($B52,Stammdaten!$A$11:$S$59,L$17,0)),"",VLOOKUP($B52,Stammdaten!$A$11:$S$59,L$17,0)/1000*$A$3*Fläche)</f>
        <v/>
      </c>
      <c r="M52" s="252" t="str">
        <f t="shared" si="3"/>
        <v/>
      </c>
      <c r="N52" s="253" t="str">
        <f>IF(ISNA(VLOOKUP($B52,Stammdaten!$A$11:$S$59,N$17,0)),"",VLOOKUP($B52,Stammdaten!$A$11:$S$59,N$17,0))</f>
        <v/>
      </c>
      <c r="O52" s="252" t="str">
        <f>IF(ISNA(VLOOKUP($B52,Stammdaten!$A$11:$S$59,O$17,0)),"",VLOOKUP($B52,Stammdaten!$A$11:$S$59,O$17,1)*Fläche)</f>
        <v/>
      </c>
      <c r="P52" s="69" t="str">
        <f>IF(ISNA(VLOOKUP($B52,Stammdaten!$A$11:$S$59,P$17,0)),"",VLOOKUP($B52,Stammdaten!$A$11:$S$59,P$17,0))</f>
        <v/>
      </c>
      <c r="Q52" s="70" t="str">
        <f>IF(ISNA(VLOOKUP($B52,Stammdaten!$A$11:$S$59,Q$17,0)),"",VLOOKUP($B52,Stammdaten!$A$11:$S$59,Q$17,0)*Fläche/1000)</f>
        <v/>
      </c>
      <c r="R52" s="70" t="str">
        <f>IF(ISNA(VLOOKUP($B52,Stammdaten!$A$11:$S$59,R$17,0)),"",VLOOKUP($B52,Stammdaten!$A$11:$S$59,R$17,0)*Fläche/1000)</f>
        <v/>
      </c>
      <c r="S52" s="70" t="str">
        <f>IF(ISNA(VLOOKUP($B52,Stammdaten!$A$11:$S$59,S$17,0)),"",VLOOKUP($B52,Stammdaten!$A$11:$S$59,S$17,0)*Fläche)</f>
        <v/>
      </c>
      <c r="T52" s="250" t="str">
        <f>IF(ISNA(VLOOKUP($B52,Stammdaten!$A$11:$S$59,T$17,0)),"",VLOOKUP($B52,Stammdaten!$A$11:$S$59,T$17,0))</f>
        <v/>
      </c>
      <c r="U52" s="280" t="str">
        <f t="shared" si="1"/>
        <v/>
      </c>
      <c r="V52" s="281" t="str">
        <f>IF(OR(B52=25,B52=26),Ablauf!$D$5,"")</f>
        <v/>
      </c>
      <c r="W52" s="281" t="str">
        <f>IF(OR(B52=25,B52=26),Ablauf!S52,"")</f>
        <v/>
      </c>
      <c r="X52" s="281" t="str">
        <f>IF(OR(B52=33,B52=34),Ablauf!$D$7,"")</f>
        <v/>
      </c>
      <c r="Y52" s="281" t="str">
        <f>IF(OR(B52=33,B52=34),Ablauf!S52,"")</f>
        <v/>
      </c>
      <c r="Z52" s="282" t="str">
        <f t="shared" si="4"/>
        <v/>
      </c>
      <c r="AA52" s="370" t="str">
        <f t="shared" si="5"/>
        <v/>
      </c>
      <c r="AB52" s="49"/>
      <c r="AC52" s="433">
        <f>Stammdaten!A43</f>
        <v>43</v>
      </c>
      <c r="AD52" s="434">
        <f>Stammdaten!C43</f>
        <v>0</v>
      </c>
      <c r="AE52" s="435"/>
      <c r="AF52" s="435"/>
      <c r="AG52" s="435"/>
      <c r="AH52" s="438"/>
      <c r="AI52" s="444"/>
      <c r="AJ52" s="439"/>
      <c r="AK52" s="439"/>
      <c r="AL52" s="439"/>
      <c r="AM52" s="440"/>
      <c r="AN52" s="441"/>
    </row>
    <row r="53" spans="1:40" ht="15" customHeight="1">
      <c r="A53" s="334">
        <f t="shared" si="9"/>
        <v>34</v>
      </c>
      <c r="B53" s="466"/>
      <c r="C53" s="336" t="str">
        <f>IF(ISNA(VLOOKUP(B53,Stammdaten!$A$11:$C$59,$C$17,0)),"",(VLOOKUP(B53,Stammdaten!$A$11:$C$59,$C$17,0)))</f>
        <v/>
      </c>
      <c r="D53" s="464"/>
      <c r="E53" s="369" t="str">
        <f>IF(ISNA(VLOOKUP($B53,Stammdaten!$A$11:$S$59,E$17,0)),"",VLOOKUP($B53,Stammdaten!$A$11:$S$59,E$17,0))</f>
        <v/>
      </c>
      <c r="F53" s="371" t="str">
        <f>IF(ISNA(VLOOKUP($B53,Stammdaten!$A$11:$S$59,F$17,0)),"",VLOOKUP($B53,Stammdaten!$A$11:$S$59,F$17,0))</f>
        <v/>
      </c>
      <c r="G53" s="372" t="str">
        <f>IF(ISNA(VLOOKUP($B53,Stammdaten!$A$11:$S$59,G$17,0)),"",VLOOKUP($B53,Stammdaten!$A$11:$S$59,G$17,0))</f>
        <v/>
      </c>
      <c r="H53" s="373" t="str">
        <f t="shared" si="2"/>
        <v/>
      </c>
      <c r="I53" s="251" t="str">
        <f t="shared" si="0"/>
        <v/>
      </c>
      <c r="J53" s="252" t="str">
        <f>IF(ISNA(VLOOKUP($B53,Stammdaten!$A$11:$S$59,J$17,0)),"",VLOOKUP($B53,Stammdaten!$A$11:$S$59,J$17,0))</f>
        <v/>
      </c>
      <c r="K53" s="252" t="str">
        <f>IF(ISNA(VLOOKUP($B53,Stammdaten!$A$11:$S$59,K$17,0)),"",VLOOKUP($B53,Stammdaten!$A$11:$S$59,K$17,0)*Fläche)</f>
        <v/>
      </c>
      <c r="L53" s="252" t="str">
        <f>IF(ISNA(VLOOKUP($B53,Stammdaten!$A$11:$S$59,L$17,0)),"",VLOOKUP($B53,Stammdaten!$A$11:$S$59,L$17,0)/1000*$A$3*Fläche)</f>
        <v/>
      </c>
      <c r="M53" s="252" t="str">
        <f t="shared" si="3"/>
        <v/>
      </c>
      <c r="N53" s="253" t="str">
        <f>IF(ISNA(VLOOKUP($B53,Stammdaten!$A$11:$S$59,N$17,0)),"",VLOOKUP($B53,Stammdaten!$A$11:$S$59,N$17,0))</f>
        <v/>
      </c>
      <c r="O53" s="252" t="str">
        <f>IF(ISNA(VLOOKUP($B53,Stammdaten!$A$11:$S$59,O$17,0)),"",VLOOKUP($B53,Stammdaten!$A$11:$S$59,O$17,1)*Fläche)</f>
        <v/>
      </c>
      <c r="P53" s="69" t="str">
        <f>IF(ISNA(VLOOKUP($B53,Stammdaten!$A$11:$S$59,P$17,0)),"",VLOOKUP($B53,Stammdaten!$A$11:$S$59,P$17,0))</f>
        <v/>
      </c>
      <c r="Q53" s="70" t="str">
        <f>IF(ISNA(VLOOKUP($B53,Stammdaten!$A$11:$S$59,Q$17,0)),"",VLOOKUP($B53,Stammdaten!$A$11:$S$59,Q$17,0)*Fläche/1000)</f>
        <v/>
      </c>
      <c r="R53" s="70" t="str">
        <f>IF(ISNA(VLOOKUP($B53,Stammdaten!$A$11:$S$59,R$17,0)),"",VLOOKUP($B53,Stammdaten!$A$11:$S$59,R$17,0)*Fläche/1000)</f>
        <v/>
      </c>
      <c r="S53" s="70" t="str">
        <f>IF(ISNA(VLOOKUP($B53,Stammdaten!$A$11:$S$59,S$17,0)),"",VLOOKUP($B53,Stammdaten!$A$11:$S$59,S$17,0)*Fläche)</f>
        <v/>
      </c>
      <c r="T53" s="250" t="str">
        <f>IF(ISNA(VLOOKUP($B53,Stammdaten!$A$11:$S$59,T$17,0)),"",VLOOKUP($B53,Stammdaten!$A$11:$S$59,T$17,0))</f>
        <v/>
      </c>
      <c r="U53" s="280" t="str">
        <f t="shared" si="1"/>
        <v/>
      </c>
      <c r="V53" s="281" t="str">
        <f>IF(OR(B53=25,B53=26),Ablauf!$D$5,"")</f>
        <v/>
      </c>
      <c r="W53" s="281" t="str">
        <f>IF(OR(B53=25,B53=26),Ablauf!S53,"")</f>
        <v/>
      </c>
      <c r="X53" s="281" t="str">
        <f>IF(OR(B53=33,B53=34),Ablauf!$D$7,"")</f>
        <v/>
      </c>
      <c r="Y53" s="281" t="str">
        <f>IF(OR(B53=33,B53=34),Ablauf!S53,"")</f>
        <v/>
      </c>
      <c r="Z53" s="282" t="str">
        <f t="shared" si="4"/>
        <v/>
      </c>
      <c r="AA53" s="370" t="str">
        <f t="shared" si="5"/>
        <v/>
      </c>
      <c r="AB53" s="49"/>
      <c r="AC53" s="433">
        <f>Stammdaten!A44</f>
        <v>44</v>
      </c>
      <c r="AD53" s="434">
        <f>Stammdaten!C44</f>
        <v>0</v>
      </c>
      <c r="AE53" s="435"/>
      <c r="AF53" s="435"/>
      <c r="AG53" s="435"/>
      <c r="AH53" s="438"/>
      <c r="AI53" s="444"/>
      <c r="AJ53" s="439"/>
      <c r="AK53" s="439"/>
      <c r="AL53" s="439"/>
      <c r="AM53" s="440"/>
      <c r="AN53" s="441"/>
    </row>
    <row r="54" spans="1:40" ht="15" customHeight="1">
      <c r="A54" s="334">
        <f t="shared" si="9"/>
        <v>35</v>
      </c>
      <c r="B54" s="466"/>
      <c r="C54" s="336" t="str">
        <f>IF(ISNA(VLOOKUP(B54,Stammdaten!$A$11:$C$59,$C$17,0)),"",(VLOOKUP(B54,Stammdaten!$A$11:$C$59,$C$17,0)))</f>
        <v/>
      </c>
      <c r="D54" s="464"/>
      <c r="E54" s="369" t="str">
        <f>IF(ISNA(VLOOKUP($B54,Stammdaten!$A$11:$S$59,E$17,0)),"",VLOOKUP($B54,Stammdaten!$A$11:$S$59,E$17,0))</f>
        <v/>
      </c>
      <c r="F54" s="371" t="str">
        <f>IF(ISNA(VLOOKUP($B54,Stammdaten!$A$11:$S$59,F$17,0)),"",VLOOKUP($B54,Stammdaten!$A$11:$S$59,F$17,0))</f>
        <v/>
      </c>
      <c r="G54" s="372" t="str">
        <f>IF(ISNA(VLOOKUP($B54,Stammdaten!$A$11:$S$59,G$17,0)),"",VLOOKUP($B54,Stammdaten!$A$11:$S$59,G$17,0))</f>
        <v/>
      </c>
      <c r="H54" s="373" t="str">
        <f t="shared" si="2"/>
        <v/>
      </c>
      <c r="I54" s="251" t="str">
        <f t="shared" si="0"/>
        <v/>
      </c>
      <c r="J54" s="252" t="str">
        <f>IF(ISNA(VLOOKUP($B54,Stammdaten!$A$11:$S$59,J$17,0)),"",VLOOKUP($B54,Stammdaten!$A$11:$S$59,J$17,0))</f>
        <v/>
      </c>
      <c r="K54" s="252" t="str">
        <f>IF(ISNA(VLOOKUP($B54,Stammdaten!$A$11:$S$59,K$17,0)),"",VLOOKUP($B54,Stammdaten!$A$11:$S$59,K$17,0)*Fläche)</f>
        <v/>
      </c>
      <c r="L54" s="252" t="str">
        <f>IF(ISNA(VLOOKUP($B54,Stammdaten!$A$11:$S$59,L$17,0)),"",VLOOKUP($B54,Stammdaten!$A$11:$S$59,L$17,0)/1000*$A$3*Fläche)</f>
        <v/>
      </c>
      <c r="M54" s="252" t="str">
        <f t="shared" si="3"/>
        <v/>
      </c>
      <c r="N54" s="253" t="str">
        <f>IF(ISNA(VLOOKUP($B54,Stammdaten!$A$11:$S$59,N$17,0)),"",VLOOKUP($B54,Stammdaten!$A$11:$S$59,N$17,0))</f>
        <v/>
      </c>
      <c r="O54" s="252" t="str">
        <f>IF(ISNA(VLOOKUP($B54,Stammdaten!$A$11:$S$59,O$17,0)),"",VLOOKUP($B54,Stammdaten!$A$11:$S$59,O$17,1)*Fläche)</f>
        <v/>
      </c>
      <c r="P54" s="69" t="str">
        <f>IF(ISNA(VLOOKUP($B54,Stammdaten!$A$11:$S$59,P$17,0)),"",VLOOKUP($B54,Stammdaten!$A$11:$S$59,P$17,0))</f>
        <v/>
      </c>
      <c r="Q54" s="70" t="str">
        <f>IF(ISNA(VLOOKUP($B54,Stammdaten!$A$11:$S$59,Q$17,0)),"",VLOOKUP($B54,Stammdaten!$A$11:$S$59,Q$17,0)*Fläche/1000)</f>
        <v/>
      </c>
      <c r="R54" s="70" t="str">
        <f>IF(ISNA(VLOOKUP($B54,Stammdaten!$A$11:$S$59,R$17,0)),"",VLOOKUP($B54,Stammdaten!$A$11:$S$59,R$17,0)*Fläche/1000)</f>
        <v/>
      </c>
      <c r="S54" s="70" t="str">
        <f>IF(ISNA(VLOOKUP($B54,Stammdaten!$A$11:$S$59,S$17,0)),"",VLOOKUP($B54,Stammdaten!$A$11:$S$59,S$17,0)*Fläche)</f>
        <v/>
      </c>
      <c r="T54" s="250" t="str">
        <f>IF(ISNA(VLOOKUP($B54,Stammdaten!$A$11:$S$59,T$17,0)),"",VLOOKUP($B54,Stammdaten!$A$11:$S$59,T$17,0))</f>
        <v/>
      </c>
      <c r="U54" s="280" t="str">
        <f t="shared" si="1"/>
        <v/>
      </c>
      <c r="V54" s="281" t="str">
        <f>IF(OR(B54=25,B54=26),Ablauf!$D$5,"")</f>
        <v/>
      </c>
      <c r="W54" s="281" t="str">
        <f>IF(OR(B54=25,B54=26),Ablauf!S54,"")</f>
        <v/>
      </c>
      <c r="X54" s="281" t="str">
        <f>IF(OR(B54=33,B54=34),Ablauf!$D$7,"")</f>
        <v/>
      </c>
      <c r="Y54" s="281" t="str">
        <f>IF(OR(B54=33,B54=34),Ablauf!S54,"")</f>
        <v/>
      </c>
      <c r="Z54" s="282" t="str">
        <f t="shared" si="4"/>
        <v/>
      </c>
      <c r="AA54" s="370" t="str">
        <f t="shared" si="5"/>
        <v/>
      </c>
      <c r="AB54" s="49"/>
      <c r="AC54" s="433">
        <f>Stammdaten!A45</f>
        <v>45</v>
      </c>
      <c r="AD54" s="434">
        <f>Stammdaten!C45</f>
        <v>0</v>
      </c>
      <c r="AE54" s="435"/>
      <c r="AF54" s="435"/>
      <c r="AG54" s="435"/>
      <c r="AH54" s="438"/>
      <c r="AI54" s="444"/>
      <c r="AJ54" s="439"/>
      <c r="AK54" s="439"/>
      <c r="AL54" s="439"/>
      <c r="AM54" s="440"/>
      <c r="AN54" s="441"/>
    </row>
    <row r="55" spans="1:40" ht="15" customHeight="1">
      <c r="A55" s="334">
        <f t="shared" si="9"/>
        <v>36</v>
      </c>
      <c r="B55" s="466"/>
      <c r="C55" s="336" t="str">
        <f>IF(ISNA(VLOOKUP(B55,Stammdaten!$A$11:$C$59,$C$17,0)),"",(VLOOKUP(B55,Stammdaten!$A$11:$C$59,$C$17,0)))</f>
        <v/>
      </c>
      <c r="D55" s="464"/>
      <c r="E55" s="369" t="str">
        <f>IF(ISNA(VLOOKUP($B55,Stammdaten!$A$11:$S$59,E$17,0)),"",VLOOKUP($B55,Stammdaten!$A$11:$S$59,E$17,0))</f>
        <v/>
      </c>
      <c r="F55" s="371" t="str">
        <f>IF(ISNA(VLOOKUP($B55,Stammdaten!$A$11:$S$59,F$17,0)),"",VLOOKUP($B55,Stammdaten!$A$11:$S$59,F$17,0))</f>
        <v/>
      </c>
      <c r="G55" s="372" t="str">
        <f>IF(ISNA(VLOOKUP($B55,Stammdaten!$A$11:$S$59,G$17,0)),"",VLOOKUP($B55,Stammdaten!$A$11:$S$59,G$17,0))</f>
        <v/>
      </c>
      <c r="H55" s="373" t="str">
        <f t="shared" si="2"/>
        <v/>
      </c>
      <c r="I55" s="251" t="str">
        <f t="shared" si="0"/>
        <v/>
      </c>
      <c r="J55" s="252" t="str">
        <f>IF(ISNA(VLOOKUP($B55,Stammdaten!$A$11:$S$59,J$17,0)),"",VLOOKUP($B55,Stammdaten!$A$11:$S$59,J$17,0))</f>
        <v/>
      </c>
      <c r="K55" s="252" t="str">
        <f>IF(ISNA(VLOOKUP($B55,Stammdaten!$A$11:$S$59,K$17,0)),"",VLOOKUP($B55,Stammdaten!$A$11:$S$59,K$17,0)*Fläche)</f>
        <v/>
      </c>
      <c r="L55" s="252" t="str">
        <f>IF(ISNA(VLOOKUP($B55,Stammdaten!$A$11:$S$59,L$17,0)),"",VLOOKUP($B55,Stammdaten!$A$11:$S$59,L$17,0)/1000*$A$3*Fläche)</f>
        <v/>
      </c>
      <c r="M55" s="252" t="str">
        <f t="shared" si="3"/>
        <v/>
      </c>
      <c r="N55" s="253" t="str">
        <f>IF(ISNA(VLOOKUP($B55,Stammdaten!$A$11:$S$59,N$17,0)),"",VLOOKUP($B55,Stammdaten!$A$11:$S$59,N$17,0))</f>
        <v/>
      </c>
      <c r="O55" s="252" t="str">
        <f>IF(ISNA(VLOOKUP($B55,Stammdaten!$A$11:$S$59,O$17,0)),"",VLOOKUP($B55,Stammdaten!$A$11:$S$59,O$17,1)*Fläche)</f>
        <v/>
      </c>
      <c r="P55" s="69" t="str">
        <f>IF(ISNA(VLOOKUP($B55,Stammdaten!$A$11:$S$59,P$17,0)),"",VLOOKUP($B55,Stammdaten!$A$11:$S$59,P$17,0))</f>
        <v/>
      </c>
      <c r="Q55" s="70" t="str">
        <f>IF(ISNA(VLOOKUP($B55,Stammdaten!$A$11:$S$59,Q$17,0)),"",VLOOKUP($B55,Stammdaten!$A$11:$S$59,Q$17,0)*Fläche/1000)</f>
        <v/>
      </c>
      <c r="R55" s="70" t="str">
        <f>IF(ISNA(VLOOKUP($B55,Stammdaten!$A$11:$S$59,R$17,0)),"",VLOOKUP($B55,Stammdaten!$A$11:$S$59,R$17,0)*Fläche/1000)</f>
        <v/>
      </c>
      <c r="S55" s="70" t="str">
        <f>IF(ISNA(VLOOKUP($B55,Stammdaten!$A$11:$S$59,S$17,0)),"",VLOOKUP($B55,Stammdaten!$A$11:$S$59,S$17,0)*Fläche)</f>
        <v/>
      </c>
      <c r="T55" s="250" t="str">
        <f>IF(ISNA(VLOOKUP($B55,Stammdaten!$A$11:$S$59,T$17,0)),"",VLOOKUP($B55,Stammdaten!$A$11:$S$59,T$17,0))</f>
        <v/>
      </c>
      <c r="U55" s="280" t="str">
        <f t="shared" si="1"/>
        <v/>
      </c>
      <c r="V55" s="281" t="str">
        <f>IF(OR(B55=25,B55=26),Ablauf!$D$5,"")</f>
        <v/>
      </c>
      <c r="W55" s="281" t="str">
        <f>IF(OR(B55=25,B55=26),Ablauf!S55,"")</f>
        <v/>
      </c>
      <c r="X55" s="281" t="str">
        <f>IF(OR(B55=33,B55=34),Ablauf!$D$7,"")</f>
        <v/>
      </c>
      <c r="Y55" s="281" t="str">
        <f>IF(OR(B55=33,B55=34),Ablauf!S55,"")</f>
        <v/>
      </c>
      <c r="Z55" s="282" t="str">
        <f t="shared" si="4"/>
        <v/>
      </c>
      <c r="AA55" s="370" t="str">
        <f t="shared" si="5"/>
        <v/>
      </c>
      <c r="AB55" s="49"/>
      <c r="AC55" s="433">
        <f>Stammdaten!A46</f>
        <v>46</v>
      </c>
      <c r="AD55" s="434">
        <f>Stammdaten!C46</f>
        <v>0</v>
      </c>
      <c r="AE55" s="435"/>
      <c r="AF55" s="435"/>
      <c r="AG55" s="435"/>
      <c r="AH55" s="438"/>
      <c r="AI55" s="444"/>
      <c r="AJ55" s="439"/>
      <c r="AK55" s="439"/>
      <c r="AL55" s="439"/>
      <c r="AM55" s="440"/>
      <c r="AN55" s="441"/>
    </row>
    <row r="56" spans="1:40" ht="15.75" customHeight="1">
      <c r="A56" s="334">
        <f t="shared" si="9"/>
        <v>37</v>
      </c>
      <c r="B56" s="466"/>
      <c r="C56" s="336" t="str">
        <f>IF(ISNA(VLOOKUP(B56,Stammdaten!$A$11:$C$59,$C$17,0)),"",(VLOOKUP(B56,Stammdaten!$A$11:$C$59,$C$17,0)))</f>
        <v/>
      </c>
      <c r="D56" s="464"/>
      <c r="E56" s="369" t="str">
        <f>IF(ISNA(VLOOKUP($B56,Stammdaten!$A$11:$S$59,E$17,0)),"",VLOOKUP($B56,Stammdaten!$A$11:$S$59,E$17,0))</f>
        <v/>
      </c>
      <c r="F56" s="371" t="str">
        <f>IF(ISNA(VLOOKUP($B56,Stammdaten!$A$11:$S$59,F$17,0)),"",VLOOKUP($B56,Stammdaten!$A$11:$S$59,F$17,0))</f>
        <v/>
      </c>
      <c r="G56" s="372" t="str">
        <f>IF(ISNA(VLOOKUP($B56,Stammdaten!$A$11:$S$59,G$17,0)),"",VLOOKUP($B56,Stammdaten!$A$11:$S$59,G$17,0))</f>
        <v/>
      </c>
      <c r="H56" s="373" t="str">
        <f t="shared" si="2"/>
        <v/>
      </c>
      <c r="I56" s="251" t="str">
        <f t="shared" si="0"/>
        <v/>
      </c>
      <c r="J56" s="252" t="str">
        <f>IF(ISNA(VLOOKUP($B56,Stammdaten!$A$11:$S$59,J$17,0)),"",VLOOKUP($B56,Stammdaten!$A$11:$S$59,J$17,0))</f>
        <v/>
      </c>
      <c r="K56" s="252" t="str">
        <f>IF(ISNA(VLOOKUP($B56,Stammdaten!$A$11:$S$59,K$17,0)),"",VLOOKUP($B56,Stammdaten!$A$11:$S$59,K$17,0)*Fläche)</f>
        <v/>
      </c>
      <c r="L56" s="252" t="str">
        <f>IF(ISNA(VLOOKUP($B56,Stammdaten!$A$11:$S$59,L$17,0)),"",VLOOKUP($B56,Stammdaten!$A$11:$S$59,L$17,0)/1000*$A$3*Fläche)</f>
        <v/>
      </c>
      <c r="M56" s="252" t="str">
        <f t="shared" si="3"/>
        <v/>
      </c>
      <c r="N56" s="253" t="str">
        <f>IF(ISNA(VLOOKUP($B56,Stammdaten!$A$11:$S$59,N$17,0)),"",VLOOKUP($B56,Stammdaten!$A$11:$S$59,N$17,0))</f>
        <v/>
      </c>
      <c r="O56" s="252" t="str">
        <f>IF(ISNA(VLOOKUP($B56,Stammdaten!$A$11:$S$59,O$17,0)),"",VLOOKUP($B56,Stammdaten!$A$11:$S$59,O$17,1)*Fläche)</f>
        <v/>
      </c>
      <c r="P56" s="69" t="str">
        <f>IF(ISNA(VLOOKUP($B56,Stammdaten!$A$11:$S$59,P$17,0)),"",VLOOKUP($B56,Stammdaten!$A$11:$S$59,P$17,0))</f>
        <v/>
      </c>
      <c r="Q56" s="70" t="str">
        <f>IF(ISNA(VLOOKUP($B56,Stammdaten!$A$11:$S$59,Q$17,0)),"",VLOOKUP($B56,Stammdaten!$A$11:$S$59,Q$17,0)*Fläche/1000)</f>
        <v/>
      </c>
      <c r="R56" s="70" t="str">
        <f>IF(ISNA(VLOOKUP($B56,Stammdaten!$A$11:$S$59,R$17,0)),"",VLOOKUP($B56,Stammdaten!$A$11:$S$59,R$17,0)*Fläche/1000)</f>
        <v/>
      </c>
      <c r="S56" s="70" t="str">
        <f>IF(ISNA(VLOOKUP($B56,Stammdaten!$A$11:$S$59,S$17,0)),"",VLOOKUP($B56,Stammdaten!$A$11:$S$59,S$17,0)*Fläche)</f>
        <v/>
      </c>
      <c r="T56" s="250" t="str">
        <f>IF(ISNA(VLOOKUP($B56,Stammdaten!$A$11:$S$59,T$17,0)),"",VLOOKUP($B56,Stammdaten!$A$11:$S$59,T$17,0))</f>
        <v/>
      </c>
      <c r="U56" s="280" t="str">
        <f t="shared" si="1"/>
        <v/>
      </c>
      <c r="V56" s="281" t="str">
        <f>IF(OR(B56=25,B56=26),Ablauf!$D$5,"")</f>
        <v/>
      </c>
      <c r="W56" s="281" t="str">
        <f>IF(OR(B56=25,B56=26),Ablauf!S56,"")</f>
        <v/>
      </c>
      <c r="X56" s="281" t="str">
        <f>IF(OR(B56=33,B56=34),Ablauf!$D$7,"")</f>
        <v/>
      </c>
      <c r="Y56" s="281" t="str">
        <f>IF(OR(B56=33,B56=34),Ablauf!S56,"")</f>
        <v/>
      </c>
      <c r="Z56" s="282" t="str">
        <f t="shared" si="4"/>
        <v/>
      </c>
      <c r="AA56" s="370" t="str">
        <f t="shared" si="5"/>
        <v/>
      </c>
      <c r="AB56" s="49"/>
      <c r="AC56" s="433">
        <f>Stammdaten!A47</f>
        <v>47</v>
      </c>
      <c r="AD56" s="434">
        <f>Stammdaten!C47</f>
        <v>0</v>
      </c>
      <c r="AE56" s="435"/>
      <c r="AF56" s="435"/>
      <c r="AG56" s="435"/>
      <c r="AH56" s="438"/>
      <c r="AI56" s="444"/>
      <c r="AJ56" s="439"/>
      <c r="AK56" s="439"/>
      <c r="AL56" s="439"/>
      <c r="AM56" s="440"/>
      <c r="AN56" s="441"/>
    </row>
    <row r="57" spans="1:40" ht="16.5">
      <c r="A57" s="334">
        <f t="shared" si="9"/>
        <v>38</v>
      </c>
      <c r="B57" s="466"/>
      <c r="C57" s="336" t="str">
        <f>IF(ISNA(VLOOKUP(B57,Stammdaten!$A$11:$C$59,$C$17,0)),"",(VLOOKUP(B57,Stammdaten!$A$11:$C$59,$C$17,0)))</f>
        <v/>
      </c>
      <c r="D57" s="464"/>
      <c r="E57" s="369" t="str">
        <f>IF(ISNA(VLOOKUP($B57,Stammdaten!$A$11:$S$59,E$17,0)),"",VLOOKUP($B57,Stammdaten!$A$11:$S$59,E$17,0))</f>
        <v/>
      </c>
      <c r="F57" s="371" t="str">
        <f>IF(ISNA(VLOOKUP($B57,Stammdaten!$A$11:$S$59,F$17,0)),"",VLOOKUP($B57,Stammdaten!$A$11:$S$59,F$17,0))</f>
        <v/>
      </c>
      <c r="G57" s="372" t="str">
        <f>IF(ISNA(VLOOKUP($B57,Stammdaten!$A$11:$S$59,G$17,0)),"",VLOOKUP($B57,Stammdaten!$A$11:$S$59,G$17,0))</f>
        <v/>
      </c>
      <c r="H57" s="373" t="str">
        <f t="shared" si="2"/>
        <v/>
      </c>
      <c r="I57" s="251" t="str">
        <f t="shared" si="0"/>
        <v/>
      </c>
      <c r="J57" s="252" t="str">
        <f>IF(ISNA(VLOOKUP($B57,Stammdaten!$A$11:$S$59,J$17,0)),"",VLOOKUP($B57,Stammdaten!$A$11:$S$59,J$17,0))</f>
        <v/>
      </c>
      <c r="K57" s="252" t="str">
        <f>IF(ISNA(VLOOKUP($B57,Stammdaten!$A$11:$S$59,K$17,0)),"",VLOOKUP($B57,Stammdaten!$A$11:$S$59,K$17,0)*Fläche)</f>
        <v/>
      </c>
      <c r="L57" s="252" t="str">
        <f>IF(ISNA(VLOOKUP($B57,Stammdaten!$A$11:$S$59,L$17,0)),"",VLOOKUP($B57,Stammdaten!$A$11:$S$59,L$17,0)/1000*$A$3*Fläche)</f>
        <v/>
      </c>
      <c r="M57" s="252" t="str">
        <f t="shared" si="3"/>
        <v/>
      </c>
      <c r="N57" s="253" t="str">
        <f>IF(ISNA(VLOOKUP($B57,Stammdaten!$A$11:$S$59,N$17,0)),"",VLOOKUP($B57,Stammdaten!$A$11:$S$59,N$17,0))</f>
        <v/>
      </c>
      <c r="O57" s="252" t="str">
        <f>IF(ISNA(VLOOKUP($B57,Stammdaten!$A$11:$S$59,O$17,0)),"",VLOOKUP($B57,Stammdaten!$A$11:$S$59,O$17,1)*Fläche)</f>
        <v/>
      </c>
      <c r="P57" s="69" t="str">
        <f>IF(ISNA(VLOOKUP($B57,Stammdaten!$A$11:$S$59,P$17,0)),"",VLOOKUP($B57,Stammdaten!$A$11:$S$59,P$17,0))</f>
        <v/>
      </c>
      <c r="Q57" s="70" t="str">
        <f>IF(ISNA(VLOOKUP($B57,Stammdaten!$A$11:$S$59,Q$17,0)),"",VLOOKUP($B57,Stammdaten!$A$11:$S$59,Q$17,0)*Fläche/1000)</f>
        <v/>
      </c>
      <c r="R57" s="70" t="str">
        <f>IF(ISNA(VLOOKUP($B57,Stammdaten!$A$11:$S$59,R$17,0)),"",VLOOKUP($B57,Stammdaten!$A$11:$S$59,R$17,0)*Fläche/1000)</f>
        <v/>
      </c>
      <c r="S57" s="70" t="str">
        <f>IF(ISNA(VLOOKUP($B57,Stammdaten!$A$11:$S$59,S$17,0)),"",VLOOKUP($B57,Stammdaten!$A$11:$S$59,S$17,0)*Fläche)</f>
        <v/>
      </c>
      <c r="T57" s="250" t="str">
        <f>IF(ISNA(VLOOKUP($B57,Stammdaten!$A$11:$S$59,T$17,0)),"",VLOOKUP($B57,Stammdaten!$A$11:$S$59,T$17,0))</f>
        <v/>
      </c>
      <c r="U57" s="280" t="str">
        <f t="shared" si="1"/>
        <v/>
      </c>
      <c r="V57" s="281" t="str">
        <f>IF(OR(B57=25,B57=26),Ablauf!$D$5,"")</f>
        <v/>
      </c>
      <c r="W57" s="281" t="str">
        <f>IF(OR(B57=25,B57=26),Ablauf!S57,"")</f>
        <v/>
      </c>
      <c r="X57" s="281" t="str">
        <f>IF(OR(B57=33,B57=34),Ablauf!$D$7,"")</f>
        <v/>
      </c>
      <c r="Y57" s="281" t="str">
        <f>IF(OR(B57=33,B57=34),Ablauf!S57,"")</f>
        <v/>
      </c>
      <c r="Z57" s="282" t="str">
        <f t="shared" si="4"/>
        <v/>
      </c>
      <c r="AA57" s="370" t="str">
        <f t="shared" si="5"/>
        <v/>
      </c>
      <c r="AB57" s="49"/>
      <c r="AC57" s="433">
        <f>Stammdaten!A48</f>
        <v>48</v>
      </c>
      <c r="AD57" s="434">
        <f>Stammdaten!C48</f>
        <v>0</v>
      </c>
      <c r="AE57" s="435"/>
      <c r="AF57" s="435"/>
      <c r="AG57" s="435"/>
      <c r="AH57" s="438"/>
      <c r="AI57" s="444"/>
      <c r="AJ57" s="439"/>
      <c r="AK57" s="439"/>
      <c r="AL57" s="439"/>
      <c r="AM57" s="440"/>
      <c r="AN57" s="441"/>
    </row>
    <row r="58" spans="1:40" ht="16.5">
      <c r="A58" s="334">
        <f t="shared" si="9"/>
        <v>39</v>
      </c>
      <c r="B58" s="466"/>
      <c r="C58" s="336" t="str">
        <f>IF(ISNA(VLOOKUP(B58,Stammdaten!$A$11:$C$59,$C$17,0)),"",(VLOOKUP(B58,Stammdaten!$A$11:$C$59,$C$17,0)))</f>
        <v/>
      </c>
      <c r="D58" s="464"/>
      <c r="E58" s="369" t="str">
        <f>IF(ISNA(VLOOKUP($B58,Stammdaten!$A$11:$S$59,E$17,0)),"",VLOOKUP($B58,Stammdaten!$A$11:$S$59,E$17,0))</f>
        <v/>
      </c>
      <c r="F58" s="371" t="str">
        <f>IF(ISNA(VLOOKUP($B58,Stammdaten!$A$11:$S$59,F$17,0)),"",VLOOKUP($B58,Stammdaten!$A$11:$S$59,F$17,0))</f>
        <v/>
      </c>
      <c r="G58" s="372" t="str">
        <f>IF(ISNA(VLOOKUP($B58,Stammdaten!$A$11:$S$59,G$17,0)),"",VLOOKUP($B58,Stammdaten!$A$11:$S$59,G$17,0))</f>
        <v/>
      </c>
      <c r="H58" s="373" t="str">
        <f t="shared" si="2"/>
        <v/>
      </c>
      <c r="I58" s="251" t="str">
        <f t="shared" si="0"/>
        <v/>
      </c>
      <c r="J58" s="252" t="str">
        <f>IF(ISNA(VLOOKUP($B58,Stammdaten!$A$11:$S$59,J$17,0)),"",VLOOKUP($B58,Stammdaten!$A$11:$S$59,J$17,0))</f>
        <v/>
      </c>
      <c r="K58" s="252" t="str">
        <f>IF(ISNA(VLOOKUP($B58,Stammdaten!$A$11:$S$59,K$17,0)),"",VLOOKUP($B58,Stammdaten!$A$11:$S$59,K$17,0)*Fläche)</f>
        <v/>
      </c>
      <c r="L58" s="252" t="str">
        <f>IF(ISNA(VLOOKUP($B58,Stammdaten!$A$11:$S$59,L$17,0)),"",VLOOKUP($B58,Stammdaten!$A$11:$S$59,L$17,0)/1000*$A$3*Fläche)</f>
        <v/>
      </c>
      <c r="M58" s="252" t="str">
        <f t="shared" si="3"/>
        <v/>
      </c>
      <c r="N58" s="253" t="str">
        <f>IF(ISNA(VLOOKUP($B58,Stammdaten!$A$11:$S$59,N$17,0)),"",VLOOKUP($B58,Stammdaten!$A$11:$S$59,N$17,0))</f>
        <v/>
      </c>
      <c r="O58" s="252" t="str">
        <f>IF(ISNA(VLOOKUP($B58,Stammdaten!$A$11:$S$59,O$17,0)),"",VLOOKUP($B58,Stammdaten!$A$11:$S$59,O$17,1)*Fläche)</f>
        <v/>
      </c>
      <c r="P58" s="69" t="str">
        <f>IF(ISNA(VLOOKUP($B58,Stammdaten!$A$11:$S$59,P$17,0)),"",VLOOKUP($B58,Stammdaten!$A$11:$S$59,P$17,0))</f>
        <v/>
      </c>
      <c r="Q58" s="70" t="str">
        <f>IF(ISNA(VLOOKUP($B58,Stammdaten!$A$11:$S$59,Q$17,0)),"",VLOOKUP($B58,Stammdaten!$A$11:$S$59,Q$17,0)*Fläche/1000)</f>
        <v/>
      </c>
      <c r="R58" s="70" t="str">
        <f>IF(ISNA(VLOOKUP($B58,Stammdaten!$A$11:$S$59,R$17,0)),"",VLOOKUP($B58,Stammdaten!$A$11:$S$59,R$17,0)*Fläche/1000)</f>
        <v/>
      </c>
      <c r="S58" s="70" t="str">
        <f>IF(ISNA(VLOOKUP($B58,Stammdaten!$A$11:$S$59,S$17,0)),"",VLOOKUP($B58,Stammdaten!$A$11:$S$59,S$17,0)*Fläche)</f>
        <v/>
      </c>
      <c r="T58" s="250" t="str">
        <f>IF(ISNA(VLOOKUP($B58,Stammdaten!$A$11:$S$59,T$17,0)),"",VLOOKUP($B58,Stammdaten!$A$11:$S$59,T$17,0))</f>
        <v/>
      </c>
      <c r="U58" s="280" t="str">
        <f t="shared" si="1"/>
        <v/>
      </c>
      <c r="V58" s="281" t="str">
        <f>IF(OR(B58=25,B58=26),Ablauf!$D$5,"")</f>
        <v/>
      </c>
      <c r="W58" s="281" t="str">
        <f>IF(OR(B58=25,B58=26),Ablauf!S58,"")</f>
        <v/>
      </c>
      <c r="X58" s="281" t="str">
        <f>IF(OR(B58=33,B58=34),Ablauf!$D$7,"")</f>
        <v/>
      </c>
      <c r="Y58" s="281" t="str">
        <f>IF(OR(B58=33,B58=34),Ablauf!S58,"")</f>
        <v/>
      </c>
      <c r="Z58" s="282" t="str">
        <f t="shared" si="4"/>
        <v/>
      </c>
      <c r="AA58" s="370" t="str">
        <f t="shared" si="5"/>
        <v/>
      </c>
      <c r="AC58" s="433">
        <f>Stammdaten!A49</f>
        <v>49</v>
      </c>
      <c r="AD58" s="434">
        <f>Stammdaten!C49</f>
        <v>0</v>
      </c>
      <c r="AE58" s="435"/>
      <c r="AF58" s="435"/>
      <c r="AG58" s="435"/>
      <c r="AH58" s="438"/>
      <c r="AI58" s="444"/>
      <c r="AJ58" s="439"/>
      <c r="AK58" s="439"/>
      <c r="AL58" s="439"/>
      <c r="AM58" s="440"/>
      <c r="AN58" s="441"/>
    </row>
    <row r="59" spans="1:40" ht="17.25" thickBot="1">
      <c r="A59" s="334">
        <f t="shared" si="9"/>
        <v>40</v>
      </c>
      <c r="B59" s="466"/>
      <c r="C59" s="336" t="str">
        <f>IF(ISNA(VLOOKUP(B59,Stammdaten!$A$11:$C$59,$C$17,0)),"",(VLOOKUP(B59,Stammdaten!$A$11:$C$59,$C$17,0)))</f>
        <v/>
      </c>
      <c r="D59" s="464"/>
      <c r="E59" s="369" t="str">
        <f>IF(ISNA(VLOOKUP($B59,Stammdaten!$A$11:$S$59,E$17,0)),"",VLOOKUP($B59,Stammdaten!$A$11:$S$59,E$17,0))</f>
        <v/>
      </c>
      <c r="F59" s="371" t="str">
        <f>IF(ISNA(VLOOKUP($B59,Stammdaten!$A$11:$S$59,F$17,0)),"",VLOOKUP($B59,Stammdaten!$A$11:$S$59,F$17,0))</f>
        <v/>
      </c>
      <c r="G59" s="372" t="str">
        <f>IF(ISNA(VLOOKUP($B59,Stammdaten!$A$11:$S$59,G$17,0)),"",VLOOKUP($B59,Stammdaten!$A$11:$S$59,G$17,0))</f>
        <v/>
      </c>
      <c r="H59" s="373" t="str">
        <f t="shared" si="2"/>
        <v/>
      </c>
      <c r="I59" s="251" t="str">
        <f t="shared" si="0"/>
        <v/>
      </c>
      <c r="J59" s="252" t="str">
        <f>IF(ISNA(VLOOKUP($B59,Stammdaten!$A$11:$S$59,J$17,0)),"",VLOOKUP($B59,Stammdaten!$A$11:$S$59,J$17,0))</f>
        <v/>
      </c>
      <c r="K59" s="252" t="str">
        <f>IF(ISNA(VLOOKUP($B59,Stammdaten!$A$11:$S$59,K$17,0)),"",VLOOKUP($B59,Stammdaten!$A$11:$S$59,K$17,0)*Fläche)</f>
        <v/>
      </c>
      <c r="L59" s="252" t="str">
        <f>IF(ISNA(VLOOKUP($B59,Stammdaten!$A$11:$S$59,L$17,0)),"",VLOOKUP($B59,Stammdaten!$A$11:$S$59,L$17,0)/1000*$A$3*Fläche)</f>
        <v/>
      </c>
      <c r="M59" s="252" t="str">
        <f t="shared" si="3"/>
        <v/>
      </c>
      <c r="N59" s="253" t="str">
        <f>IF(ISNA(VLOOKUP($B59,Stammdaten!$A$11:$S$59,N$17,0)),"",VLOOKUP($B59,Stammdaten!$A$11:$S$59,N$17,0))</f>
        <v/>
      </c>
      <c r="O59" s="252" t="str">
        <f>IF(ISNA(VLOOKUP($B59,Stammdaten!$A$11:$S$59,O$17,0)),"",VLOOKUP($B59,Stammdaten!$A$11:$S$59,O$17,1)*Fläche)</f>
        <v/>
      </c>
      <c r="P59" s="69" t="str">
        <f>IF(ISNA(VLOOKUP($B59,Stammdaten!$A$11:$S$59,P$17,0)),"",VLOOKUP($B59,Stammdaten!$A$11:$S$59,P$17,0))</f>
        <v/>
      </c>
      <c r="Q59" s="70" t="str">
        <f>IF(ISNA(VLOOKUP($B59,Stammdaten!$A$11:$S$59,Q$17,0)),"",VLOOKUP($B59,Stammdaten!$A$11:$S$59,Q$17,0)*Fläche/1000)</f>
        <v/>
      </c>
      <c r="R59" s="70" t="str">
        <f>IF(ISNA(VLOOKUP($B59,Stammdaten!$A$11:$S$59,R$17,0)),"",VLOOKUP($B59,Stammdaten!$A$11:$S$59,R$17,0)*Fläche/1000)</f>
        <v/>
      </c>
      <c r="S59" s="70" t="str">
        <f>IF(ISNA(VLOOKUP($B59,Stammdaten!$A$11:$S$59,S$17,0)),"",VLOOKUP($B59,Stammdaten!$A$11:$S$59,S$17,0)*Fläche)</f>
        <v/>
      </c>
      <c r="T59" s="250" t="str">
        <f>IF(ISNA(VLOOKUP($B59,Stammdaten!$A$11:$S$59,T$17,0)),"",VLOOKUP($B59,Stammdaten!$A$11:$S$59,T$17,0))</f>
        <v/>
      </c>
      <c r="U59" s="280" t="str">
        <f t="shared" si="1"/>
        <v/>
      </c>
      <c r="V59" s="281" t="str">
        <f>IF(OR(B59=25,B59=26),Ablauf!$D$5,"")</f>
        <v/>
      </c>
      <c r="W59" s="281" t="str">
        <f>IF(OR(B59=25,B59=26),Ablauf!S59,"")</f>
        <v/>
      </c>
      <c r="X59" s="281" t="str">
        <f>IF(OR(B59=33,B59=34),Ablauf!$D$7,"")</f>
        <v/>
      </c>
      <c r="Y59" s="281" t="str">
        <f>IF(OR(B59=33,B59=34),Ablauf!S59,"")</f>
        <v/>
      </c>
      <c r="Z59" s="282" t="str">
        <f t="shared" si="4"/>
        <v/>
      </c>
      <c r="AA59" s="370" t="str">
        <f t="shared" si="5"/>
        <v/>
      </c>
      <c r="AC59" s="445">
        <f>Stammdaten!A50</f>
        <v>50</v>
      </c>
      <c r="AD59" s="446">
        <f>Stammdaten!C50</f>
        <v>0</v>
      </c>
      <c r="AE59" s="435"/>
      <c r="AF59" s="435"/>
      <c r="AG59" s="435"/>
      <c r="AH59" s="447"/>
      <c r="AI59" s="448"/>
      <c r="AJ59" s="449"/>
      <c r="AK59" s="449"/>
      <c r="AL59" s="449"/>
      <c r="AM59" s="450"/>
      <c r="AN59" s="441"/>
    </row>
    <row r="60" spans="1:40">
      <c r="AC60" s="441"/>
      <c r="AD60" s="441"/>
      <c r="AE60" s="441"/>
      <c r="AF60" s="441"/>
      <c r="AG60" s="441"/>
      <c r="AH60" s="451"/>
      <c r="AI60" s="451"/>
      <c r="AJ60" s="441"/>
      <c r="AK60" s="441"/>
      <c r="AL60" s="441"/>
      <c r="AM60" s="441"/>
      <c r="AN60" s="441"/>
    </row>
    <row r="61" spans="1:40">
      <c r="AC61" s="441"/>
      <c r="AD61" s="441"/>
      <c r="AE61" s="441"/>
      <c r="AF61" s="441"/>
      <c r="AG61" s="441"/>
      <c r="AH61" s="451"/>
      <c r="AI61" s="451"/>
      <c r="AJ61" s="441"/>
      <c r="AK61" s="441"/>
      <c r="AL61" s="441"/>
      <c r="AM61" s="441"/>
      <c r="AN61" s="441"/>
    </row>
    <row r="62" spans="1:40">
      <c r="AC62" s="441"/>
      <c r="AD62" s="441"/>
      <c r="AE62" s="441"/>
      <c r="AF62" s="441"/>
      <c r="AG62" s="441"/>
      <c r="AH62" s="451"/>
      <c r="AI62" s="451"/>
      <c r="AJ62" s="441"/>
      <c r="AK62" s="441"/>
      <c r="AL62" s="441"/>
      <c r="AM62" s="441"/>
      <c r="AN62" s="441"/>
    </row>
    <row r="63" spans="1:40">
      <c r="AC63" s="441"/>
      <c r="AD63" s="441"/>
      <c r="AE63" s="441"/>
      <c r="AF63" s="441"/>
      <c r="AG63" s="441"/>
      <c r="AH63" s="451"/>
      <c r="AI63" s="451"/>
      <c r="AJ63" s="441"/>
      <c r="AK63" s="441"/>
      <c r="AL63" s="441"/>
      <c r="AM63" s="441"/>
      <c r="AN63" s="441"/>
    </row>
    <row r="64" spans="1:40">
      <c r="AC64" s="441"/>
      <c r="AD64" s="441"/>
      <c r="AE64" s="441"/>
      <c r="AF64" s="441"/>
      <c r="AG64" s="441"/>
      <c r="AH64" s="451"/>
      <c r="AI64" s="451"/>
      <c r="AJ64" s="441"/>
      <c r="AK64" s="441"/>
      <c r="AL64" s="441"/>
      <c r="AM64" s="441"/>
      <c r="AN64" s="441"/>
    </row>
    <row r="65" spans="1:40">
      <c r="AC65" s="441"/>
      <c r="AD65" s="441"/>
      <c r="AE65" s="441"/>
      <c r="AF65" s="441"/>
      <c r="AG65" s="441"/>
      <c r="AH65" s="451"/>
      <c r="AI65" s="451"/>
      <c r="AJ65" s="441"/>
      <c r="AK65" s="441"/>
      <c r="AL65" s="441"/>
      <c r="AM65" s="441"/>
      <c r="AN65" s="441"/>
    </row>
    <row r="66" spans="1:40">
      <c r="AC66" s="441"/>
      <c r="AD66" s="441"/>
      <c r="AE66" s="441"/>
      <c r="AF66" s="441"/>
      <c r="AG66" s="441"/>
      <c r="AH66" s="451"/>
      <c r="AI66" s="451"/>
      <c r="AJ66" s="441"/>
      <c r="AK66" s="441"/>
      <c r="AL66" s="441"/>
      <c r="AM66" s="441"/>
      <c r="AN66" s="441"/>
    </row>
    <row r="67" spans="1:40">
      <c r="AC67" s="441"/>
      <c r="AD67" s="441"/>
      <c r="AE67" s="441"/>
      <c r="AF67" s="441"/>
      <c r="AG67" s="441"/>
      <c r="AH67" s="451"/>
      <c r="AI67" s="451"/>
      <c r="AJ67" s="441"/>
      <c r="AK67" s="441"/>
      <c r="AL67" s="441"/>
      <c r="AM67" s="441"/>
      <c r="AN67" s="441"/>
    </row>
    <row r="68" spans="1:40">
      <c r="A68" s="49"/>
      <c r="B68" s="49"/>
      <c r="C68" s="49"/>
      <c r="D68" s="49"/>
      <c r="E68" s="362"/>
      <c r="F68" s="63"/>
      <c r="G68" s="49"/>
      <c r="H68" s="49"/>
      <c r="AC68" s="441"/>
      <c r="AD68" s="441"/>
      <c r="AE68" s="441"/>
      <c r="AF68" s="441"/>
      <c r="AG68" s="441"/>
      <c r="AH68" s="451"/>
      <c r="AI68" s="451"/>
      <c r="AJ68" s="441"/>
      <c r="AK68" s="441"/>
      <c r="AL68" s="441"/>
      <c r="AM68" s="441"/>
      <c r="AN68" s="441"/>
    </row>
    <row r="69" spans="1:40">
      <c r="A69" s="49"/>
      <c r="B69" s="49"/>
      <c r="C69" s="49"/>
      <c r="D69" s="49"/>
      <c r="E69" s="362"/>
      <c r="F69" s="63"/>
      <c r="G69" s="49"/>
      <c r="H69" s="49"/>
      <c r="AC69" s="441"/>
      <c r="AD69" s="441"/>
      <c r="AE69" s="441"/>
      <c r="AF69" s="441"/>
      <c r="AG69" s="441"/>
      <c r="AH69" s="451"/>
      <c r="AI69" s="451"/>
      <c r="AJ69" s="441"/>
      <c r="AK69" s="441"/>
      <c r="AL69" s="441"/>
      <c r="AM69" s="441"/>
      <c r="AN69" s="441"/>
    </row>
    <row r="70" spans="1:40">
      <c r="A70" s="49"/>
      <c r="B70" s="49"/>
      <c r="C70" s="49"/>
      <c r="D70" s="49"/>
      <c r="E70" s="362"/>
      <c r="F70" s="63"/>
      <c r="G70" s="49"/>
      <c r="H70" s="49"/>
      <c r="AI70" s="278"/>
    </row>
    <row r="71" spans="1:40">
      <c r="A71" s="49"/>
      <c r="B71" s="49"/>
      <c r="C71" s="49"/>
      <c r="D71" s="49"/>
      <c r="E71" s="362"/>
      <c r="F71" s="63"/>
      <c r="G71" s="49"/>
      <c r="H71" s="49"/>
      <c r="AI71" s="278"/>
    </row>
    <row r="72" spans="1:40">
      <c r="A72" s="49"/>
      <c r="B72" s="49"/>
      <c r="C72" s="49"/>
      <c r="D72" s="49"/>
      <c r="E72" s="362"/>
      <c r="F72" s="63"/>
      <c r="G72" s="49"/>
      <c r="H72" s="49"/>
      <c r="AI72" s="278"/>
    </row>
    <row r="73" spans="1:40">
      <c r="A73" s="49"/>
      <c r="B73" s="49"/>
      <c r="C73" s="49"/>
      <c r="D73" s="49"/>
      <c r="E73" s="362"/>
      <c r="F73" s="63"/>
      <c r="G73" s="49"/>
      <c r="H73" s="49"/>
      <c r="AI73" s="278"/>
    </row>
    <row r="74" spans="1:40">
      <c r="A74" s="49"/>
      <c r="B74" s="49"/>
      <c r="C74" s="49"/>
      <c r="D74" s="49"/>
      <c r="E74" s="362"/>
      <c r="F74" s="63"/>
      <c r="G74" s="49"/>
      <c r="H74" s="49"/>
      <c r="AI74" s="278"/>
    </row>
    <row r="75" spans="1:40">
      <c r="A75" s="49"/>
      <c r="B75" s="49"/>
      <c r="C75" s="49"/>
      <c r="D75" s="49"/>
      <c r="E75" s="362"/>
      <c r="F75" s="63"/>
      <c r="G75" s="49"/>
      <c r="H75" s="49"/>
      <c r="AI75" s="278"/>
    </row>
    <row r="76" spans="1:40">
      <c r="A76" s="49"/>
      <c r="B76" s="49"/>
      <c r="C76" s="49"/>
      <c r="D76" s="49"/>
      <c r="E76" s="362"/>
      <c r="F76" s="63"/>
      <c r="G76" s="49"/>
      <c r="H76" s="49"/>
      <c r="AI76" s="278"/>
    </row>
    <row r="77" spans="1:40">
      <c r="A77" s="49"/>
      <c r="B77" s="49"/>
      <c r="C77" s="49"/>
      <c r="D77" s="49"/>
      <c r="E77" s="362"/>
      <c r="F77" s="63"/>
      <c r="G77" s="49"/>
      <c r="H77" s="49"/>
      <c r="AI77" s="278"/>
    </row>
    <row r="78" spans="1:40">
      <c r="A78" s="49"/>
      <c r="B78" s="49"/>
      <c r="C78" s="49"/>
      <c r="D78" s="49"/>
      <c r="E78" s="362"/>
      <c r="F78" s="63"/>
      <c r="G78" s="49"/>
      <c r="H78" s="49"/>
      <c r="AI78" s="278"/>
    </row>
    <row r="79" spans="1:40">
      <c r="A79" s="49"/>
      <c r="B79" s="49"/>
      <c r="C79" s="49"/>
      <c r="D79" s="49"/>
      <c r="E79" s="362"/>
      <c r="F79" s="63"/>
      <c r="G79" s="49"/>
      <c r="H79" s="49"/>
      <c r="AI79" s="278"/>
    </row>
    <row r="80" spans="1:40">
      <c r="A80" s="49"/>
      <c r="B80" s="49"/>
      <c r="C80" s="49"/>
      <c r="D80" s="49"/>
      <c r="E80" s="362"/>
      <c r="F80" s="63"/>
      <c r="G80" s="49"/>
      <c r="H80" s="49"/>
      <c r="AI80" s="278"/>
    </row>
    <row r="81" spans="1:35">
      <c r="A81" s="49"/>
      <c r="B81" s="49"/>
      <c r="C81" s="49"/>
      <c r="D81" s="49"/>
      <c r="E81" s="362"/>
      <c r="F81" s="63"/>
      <c r="G81" s="49"/>
      <c r="H81" s="49"/>
      <c r="AI81" s="278"/>
    </row>
    <row r="82" spans="1:35">
      <c r="A82" s="49"/>
      <c r="B82" s="49"/>
      <c r="C82" s="49"/>
      <c r="D82" s="49"/>
      <c r="E82" s="362"/>
      <c r="F82" s="63"/>
      <c r="G82" s="49"/>
      <c r="H82" s="49"/>
      <c r="AI82" s="278"/>
    </row>
    <row r="83" spans="1:35">
      <c r="A83" s="49"/>
      <c r="B83" s="49"/>
      <c r="C83" s="49"/>
      <c r="D83" s="49"/>
      <c r="E83" s="362"/>
      <c r="F83" s="63"/>
      <c r="G83" s="49"/>
      <c r="H83" s="49"/>
      <c r="AI83" s="278"/>
    </row>
    <row r="84" spans="1:35">
      <c r="A84" s="49"/>
      <c r="B84" s="49"/>
      <c r="C84" s="49"/>
      <c r="D84" s="49"/>
      <c r="E84" s="362"/>
      <c r="F84" s="63"/>
      <c r="G84" s="49"/>
      <c r="H84" s="49"/>
      <c r="AI84" s="278"/>
    </row>
    <row r="85" spans="1:35">
      <c r="A85" s="49"/>
      <c r="B85" s="49"/>
      <c r="C85" s="49"/>
      <c r="D85" s="49"/>
      <c r="E85" s="362"/>
      <c r="F85" s="63"/>
      <c r="G85" s="49"/>
      <c r="H85" s="49"/>
      <c r="AI85" s="278"/>
    </row>
    <row r="86" spans="1:35">
      <c r="A86" s="49"/>
      <c r="B86" s="49"/>
      <c r="C86" s="49"/>
      <c r="D86" s="49"/>
      <c r="E86" s="362"/>
      <c r="F86" s="63"/>
      <c r="G86" s="49"/>
      <c r="H86" s="49"/>
      <c r="AI86" s="278"/>
    </row>
    <row r="87" spans="1:35">
      <c r="A87" s="49"/>
      <c r="B87" s="49"/>
      <c r="C87" s="49"/>
      <c r="D87" s="49"/>
      <c r="E87" s="362"/>
      <c r="F87" s="63"/>
      <c r="G87" s="49"/>
      <c r="H87" s="49"/>
      <c r="AI87" s="278"/>
    </row>
    <row r="88" spans="1:35">
      <c r="A88" s="49"/>
      <c r="B88" s="49"/>
      <c r="C88" s="49"/>
      <c r="D88" s="49"/>
      <c r="E88" s="362"/>
      <c r="F88" s="63"/>
      <c r="G88" s="49"/>
      <c r="H88" s="49"/>
      <c r="AI88" s="278"/>
    </row>
    <row r="89" spans="1:35">
      <c r="A89" s="49"/>
      <c r="B89" s="49"/>
      <c r="C89" s="49"/>
      <c r="D89" s="49"/>
      <c r="E89" s="362"/>
      <c r="F89" s="63"/>
      <c r="G89" s="49"/>
      <c r="H89" s="49"/>
      <c r="AI89" s="278"/>
    </row>
    <row r="90" spans="1:35" ht="17.25" customHeight="1">
      <c r="A90" s="49"/>
      <c r="B90" s="49"/>
      <c r="C90" s="49"/>
      <c r="D90" s="49"/>
      <c r="E90" s="362"/>
      <c r="F90" s="63"/>
      <c r="G90" s="49"/>
      <c r="H90" s="49"/>
      <c r="AI90" s="278"/>
    </row>
    <row r="91" spans="1:35">
      <c r="A91" s="49"/>
      <c r="B91" s="49"/>
      <c r="C91" s="49"/>
      <c r="D91" s="49"/>
      <c r="E91" s="362"/>
      <c r="F91" s="63"/>
      <c r="G91" s="49"/>
      <c r="H91" s="49"/>
      <c r="AI91" s="278"/>
    </row>
    <row r="92" spans="1:35">
      <c r="A92" s="49"/>
      <c r="B92" s="49"/>
      <c r="C92" s="49"/>
      <c r="D92" s="49"/>
      <c r="E92" s="362"/>
      <c r="F92" s="63"/>
      <c r="G92" s="49"/>
      <c r="H92" s="49"/>
      <c r="AI92" s="278"/>
    </row>
    <row r="93" spans="1:35">
      <c r="A93" s="49"/>
      <c r="B93" s="49"/>
      <c r="C93" s="49"/>
      <c r="D93" s="49"/>
      <c r="E93" s="362"/>
      <c r="F93" s="63"/>
      <c r="G93" s="49"/>
      <c r="H93" s="49"/>
      <c r="AI93" s="278"/>
    </row>
    <row r="94" spans="1:35">
      <c r="A94" s="49"/>
      <c r="B94" s="49"/>
      <c r="C94" s="49"/>
      <c r="D94" s="49"/>
      <c r="E94" s="362"/>
      <c r="F94" s="63"/>
      <c r="G94" s="49"/>
      <c r="H94" s="49"/>
      <c r="AI94" s="278"/>
    </row>
    <row r="95" spans="1:35">
      <c r="A95" s="49"/>
      <c r="B95" s="49"/>
      <c r="C95" s="49"/>
      <c r="D95" s="49"/>
      <c r="E95" s="362"/>
      <c r="F95" s="63"/>
      <c r="G95" s="49"/>
      <c r="H95" s="49"/>
      <c r="AI95" s="278"/>
    </row>
    <row r="96" spans="1:35">
      <c r="A96" s="49"/>
      <c r="B96" s="49"/>
      <c r="C96" s="49"/>
      <c r="D96" s="49"/>
      <c r="E96" s="362"/>
      <c r="F96" s="63"/>
      <c r="G96" s="49"/>
      <c r="H96" s="49"/>
      <c r="AI96" s="278"/>
    </row>
    <row r="97" spans="1:35">
      <c r="A97" s="49"/>
      <c r="B97" s="49"/>
      <c r="C97" s="49"/>
      <c r="D97" s="49"/>
      <c r="E97" s="362"/>
      <c r="F97" s="63"/>
      <c r="G97" s="49"/>
      <c r="H97" s="49"/>
      <c r="AI97" s="278"/>
    </row>
    <row r="98" spans="1:35">
      <c r="A98" s="49"/>
      <c r="B98" s="49"/>
      <c r="C98" s="49"/>
      <c r="D98" s="49"/>
      <c r="E98" s="362"/>
      <c r="F98" s="63"/>
      <c r="G98" s="49"/>
      <c r="H98" s="49"/>
      <c r="AI98" s="278"/>
    </row>
    <row r="99" spans="1:35">
      <c r="A99" s="49"/>
      <c r="B99" s="49"/>
      <c r="C99" s="49"/>
      <c r="D99" s="49"/>
      <c r="E99" s="362"/>
      <c r="F99" s="63"/>
      <c r="G99" s="49"/>
      <c r="H99" s="49"/>
      <c r="AI99" s="278"/>
    </row>
    <row r="100" spans="1:35">
      <c r="A100" s="49"/>
      <c r="B100" s="49"/>
      <c r="C100" s="49"/>
      <c r="D100" s="49"/>
      <c r="E100" s="362"/>
      <c r="F100" s="63"/>
      <c r="G100" s="49"/>
      <c r="H100" s="49"/>
      <c r="AI100" s="278"/>
    </row>
    <row r="101" spans="1:35">
      <c r="A101" s="49"/>
      <c r="B101" s="49"/>
      <c r="C101" s="49"/>
      <c r="D101" s="49"/>
      <c r="E101" s="362"/>
      <c r="F101" s="63"/>
      <c r="G101" s="49"/>
      <c r="H101" s="49"/>
      <c r="AI101" s="278"/>
    </row>
    <row r="102" spans="1:35">
      <c r="A102" s="49"/>
      <c r="B102" s="49"/>
      <c r="C102" s="49"/>
      <c r="D102" s="49"/>
      <c r="E102" s="362"/>
      <c r="F102" s="63"/>
      <c r="G102" s="49"/>
      <c r="H102" s="49"/>
      <c r="AI102" s="278"/>
    </row>
    <row r="103" spans="1:35">
      <c r="A103" s="49"/>
      <c r="B103" s="49"/>
      <c r="C103" s="49"/>
      <c r="D103" s="49"/>
      <c r="E103" s="362"/>
      <c r="F103" s="63"/>
      <c r="G103" s="49"/>
      <c r="H103" s="49"/>
      <c r="AI103" s="278"/>
    </row>
    <row r="104" spans="1:35">
      <c r="A104" s="49"/>
      <c r="B104" s="49"/>
      <c r="C104" s="49"/>
      <c r="D104" s="49"/>
      <c r="E104" s="362"/>
      <c r="F104" s="63"/>
      <c r="G104" s="49"/>
      <c r="H104" s="49"/>
      <c r="AI104" s="278"/>
    </row>
    <row r="105" spans="1:35">
      <c r="A105" s="49"/>
      <c r="B105" s="49"/>
      <c r="F105" s="47"/>
      <c r="AI105" s="278"/>
    </row>
    <row r="106" spans="1:35">
      <c r="F106" s="47"/>
      <c r="AI106" s="278"/>
    </row>
    <row r="107" spans="1:35">
      <c r="F107" s="47"/>
      <c r="AI107" s="278"/>
    </row>
    <row r="108" spans="1:35">
      <c r="F108" s="47"/>
      <c r="AI108" s="278"/>
    </row>
    <row r="109" spans="1:35">
      <c r="F109" s="47"/>
      <c r="AI109" s="278"/>
    </row>
    <row r="110" spans="1:35" ht="14.25" customHeight="1">
      <c r="F110" s="47"/>
      <c r="AI110" s="278"/>
    </row>
    <row r="111" spans="1:35">
      <c r="F111" s="47"/>
      <c r="AI111" s="278"/>
    </row>
    <row r="112" spans="1:35">
      <c r="F112" s="47"/>
      <c r="AI112" s="278"/>
    </row>
    <row r="113" spans="3:35">
      <c r="F113" s="47"/>
      <c r="AI113" s="278"/>
    </row>
    <row r="114" spans="3:35">
      <c r="F114" s="47"/>
      <c r="AI114" s="278"/>
    </row>
    <row r="115" spans="3:35">
      <c r="C115" s="56"/>
      <c r="D115" s="56"/>
      <c r="E115" s="362"/>
      <c r="F115" s="56"/>
      <c r="G115" s="58"/>
      <c r="H115" s="58"/>
      <c r="AI115" s="278"/>
    </row>
    <row r="116" spans="3:35">
      <c r="C116" s="59"/>
      <c r="D116" s="59"/>
      <c r="F116" s="59"/>
      <c r="AI116" s="278"/>
    </row>
    <row r="117" spans="3:35">
      <c r="C117" s="49"/>
      <c r="D117" s="49"/>
      <c r="E117" s="362"/>
      <c r="F117" s="49"/>
      <c r="G117" s="49"/>
      <c r="H117" s="49"/>
      <c r="AI117" s="278"/>
    </row>
    <row r="118" spans="3:35">
      <c r="C118" s="49"/>
      <c r="D118" s="49"/>
      <c r="E118" s="362"/>
      <c r="F118" s="49"/>
      <c r="G118" s="49"/>
      <c r="H118" s="49"/>
      <c r="AI118" s="278"/>
    </row>
    <row r="119" spans="3:35">
      <c r="C119" s="49"/>
      <c r="D119" s="49"/>
      <c r="E119" s="362"/>
      <c r="F119" s="49"/>
      <c r="G119" s="49"/>
      <c r="H119" s="49"/>
      <c r="AI119" s="278"/>
    </row>
    <row r="120" spans="3:35">
      <c r="C120" s="49"/>
      <c r="D120" s="49"/>
      <c r="E120" s="362"/>
      <c r="F120" s="49"/>
      <c r="G120" s="49"/>
      <c r="H120" s="49"/>
      <c r="AI120" s="278"/>
    </row>
    <row r="121" spans="3:35">
      <c r="C121" s="49"/>
      <c r="D121" s="49"/>
      <c r="E121" s="362"/>
      <c r="F121" s="49"/>
      <c r="G121" s="49"/>
      <c r="H121" s="49"/>
      <c r="AI121" s="278"/>
    </row>
    <row r="122" spans="3:35">
      <c r="C122" s="49"/>
      <c r="D122" s="49"/>
      <c r="E122" s="362"/>
      <c r="F122" s="49"/>
      <c r="G122" s="49"/>
      <c r="H122" s="49"/>
      <c r="AI122" s="278"/>
    </row>
    <row r="123" spans="3:35">
      <c r="C123" s="49"/>
      <c r="D123" s="49"/>
      <c r="E123" s="362"/>
      <c r="F123" s="49"/>
      <c r="G123" s="49"/>
      <c r="H123" s="49"/>
      <c r="AI123" s="278"/>
    </row>
    <row r="124" spans="3:35">
      <c r="C124" s="49"/>
      <c r="D124" s="49"/>
      <c r="E124" s="362"/>
      <c r="F124" s="49"/>
      <c r="G124" s="49"/>
      <c r="H124" s="49"/>
      <c r="AI124" s="278"/>
    </row>
    <row r="125" spans="3:35">
      <c r="C125" s="54"/>
      <c r="D125" s="57"/>
      <c r="E125" s="368"/>
      <c r="F125" s="49"/>
      <c r="G125" s="49"/>
      <c r="H125" s="49"/>
      <c r="AI125" s="278"/>
    </row>
    <row r="126" spans="3:35">
      <c r="C126" s="49"/>
      <c r="D126" s="49"/>
      <c r="E126" s="362"/>
      <c r="F126" s="49"/>
      <c r="G126" s="49"/>
      <c r="H126" s="49"/>
      <c r="AI126" s="278"/>
    </row>
    <row r="127" spans="3:35">
      <c r="C127" s="49"/>
      <c r="D127" s="49"/>
      <c r="E127" s="362"/>
      <c r="F127" s="49"/>
      <c r="G127" s="49"/>
      <c r="H127" s="49"/>
      <c r="AI127" s="278"/>
    </row>
    <row r="128" spans="3:35">
      <c r="C128" s="49"/>
      <c r="D128" s="49"/>
      <c r="E128" s="362"/>
      <c r="F128" s="49"/>
      <c r="G128" s="49"/>
      <c r="H128" s="49"/>
      <c r="AI128" s="278"/>
    </row>
    <row r="129" spans="6:35">
      <c r="F129" s="47"/>
      <c r="AI129" s="278"/>
    </row>
    <row r="130" spans="6:35">
      <c r="F130" s="47"/>
      <c r="AI130" s="278"/>
    </row>
    <row r="131" spans="6:35">
      <c r="F131" s="47"/>
      <c r="AI131" s="278"/>
    </row>
    <row r="132" spans="6:35">
      <c r="F132" s="47"/>
      <c r="AI132" s="278"/>
    </row>
    <row r="133" spans="6:35">
      <c r="F133" s="47"/>
      <c r="AI133" s="278"/>
    </row>
    <row r="134" spans="6:35">
      <c r="F134" s="47"/>
      <c r="AI134" s="278"/>
    </row>
    <row r="135" spans="6:35">
      <c r="F135" s="47"/>
      <c r="AI135" s="278"/>
    </row>
    <row r="136" spans="6:35">
      <c r="F136" s="47"/>
      <c r="AI136" s="278"/>
    </row>
    <row r="137" spans="6:35">
      <c r="F137" s="47"/>
      <c r="AI137" s="278"/>
    </row>
    <row r="138" spans="6:35">
      <c r="F138" s="47"/>
      <c r="AI138" s="278"/>
    </row>
    <row r="139" spans="6:35">
      <c r="F139" s="47"/>
      <c r="AI139" s="278"/>
    </row>
    <row r="140" spans="6:35">
      <c r="F140" s="47"/>
      <c r="AI140" s="278"/>
    </row>
    <row r="141" spans="6:35">
      <c r="F141" s="47"/>
      <c r="AI141" s="278"/>
    </row>
    <row r="142" spans="6:35">
      <c r="F142" s="47"/>
      <c r="AI142" s="278"/>
    </row>
    <row r="143" spans="6:35">
      <c r="F143" s="47"/>
      <c r="AI143" s="278"/>
    </row>
    <row r="144" spans="6:35">
      <c r="F144" s="47"/>
      <c r="AI144" s="278"/>
    </row>
    <row r="145" spans="6:35">
      <c r="F145" s="47"/>
      <c r="AI145" s="278"/>
    </row>
    <row r="146" spans="6:35">
      <c r="F146" s="47"/>
      <c r="AI146" s="278"/>
    </row>
  </sheetData>
  <mergeCells count="12">
    <mergeCell ref="A2:B2"/>
    <mergeCell ref="A3:B3"/>
    <mergeCell ref="A4:B4"/>
    <mergeCell ref="A6:B6"/>
    <mergeCell ref="AC3:AC4"/>
    <mergeCell ref="F18:H18"/>
    <mergeCell ref="AH18:AM18"/>
    <mergeCell ref="AC18:AD19"/>
    <mergeCell ref="P18:S18"/>
    <mergeCell ref="J18:M18"/>
    <mergeCell ref="N18:O18"/>
    <mergeCell ref="U18:AA18"/>
  </mergeCells>
  <phoneticPr fontId="0" type="noConversion"/>
  <conditionalFormatting sqref="AD6">
    <cfRule type="expression" dxfId="17" priority="1">
      <formula>$AD$6&gt;$D$11</formula>
    </cfRule>
  </conditionalFormatting>
  <dataValidations count="1">
    <dataValidation allowBlank="1" showInputMessage="1" sqref="D5 D7:D8 D20:E59"/>
  </dataValidations>
  <pageMargins left="0.77" right="0.78740157499999996" top="0.984251969" bottom="0.84" header="0.4921259845" footer="0.4921259845"/>
  <pageSetup paperSize="9" scale="45" orientation="landscape" r:id="rId1"/>
  <headerFooter alignWithMargins="0"/>
  <rowBreaks count="1" manualBreakCount="1">
    <brk id="65" max="16383" man="1"/>
  </rowBreaks>
  <ignoredErrors>
    <ignoredError sqref="O20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print="0" autoLine="0" r:id="rId5">
            <anchor moveWithCells="1">
              <from>
                <xdr:col>29</xdr:col>
                <xdr:colOff>19050</xdr:colOff>
                <xdr:row>1</xdr:row>
                <xdr:rowOff>9525</xdr:rowOff>
              </from>
              <to>
                <xdr:col>29</xdr:col>
                <xdr:colOff>1943100</xdr:colOff>
                <xdr:row>3</xdr:row>
                <xdr:rowOff>180975</xdr:rowOff>
              </to>
            </anchor>
          </controlPr>
        </control>
      </mc:Choice>
      <mc:Fallback>
        <control shapeId="512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Stammdaten!$C$69:$C$79</xm:f>
          </x14:formula1>
          <xm:sqref>D6</xm:sqref>
        </x14:dataValidation>
        <x14:dataValidation type="list" allowBlank="1" showInputMessage="1">
          <x14:formula1>
            <xm:f>Stammdaten!$C$69:$C$79</xm:f>
          </x14:formula1>
          <xm:sqref>D4</xm:sqref>
        </x14:dataValidation>
        <x14:dataValidation type="list" allowBlank="1" showInputMessage="1" showErrorMessage="1">
          <x14:formula1>
            <xm:f>Stammdaten!$D$4:$G$4</xm:f>
          </x14:formula1>
          <xm:sqref>D2</xm:sqref>
        </x14:dataValidation>
        <x14:dataValidation type="list" allowBlank="1" showInputMessage="1">
          <x14:formula1>
            <xm:f>Stammdaten!$C$81:$C$106</xm:f>
          </x14:formula1>
          <xm:sqref>D3</xm:sqref>
        </x14:dataValidation>
        <x14:dataValidation type="list" allowBlank="1" showInputMessage="1">
          <x14:formula1>
            <xm:f>Stammdaten!$C$11:$C$59</xm:f>
          </x14:formula1>
          <xm:sqref>C20:C59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Y73"/>
  <sheetViews>
    <sheetView view="pageBreakPreview" zoomScaleNormal="100" workbookViewId="0">
      <selection activeCell="F24" sqref="F24"/>
    </sheetView>
  </sheetViews>
  <sheetFormatPr baseColWidth="10" defaultRowHeight="12.75"/>
  <cols>
    <col min="1" max="1" width="35.140625" customWidth="1"/>
    <col min="2" max="2" width="6.42578125" customWidth="1"/>
    <col min="3" max="3" width="29" customWidth="1"/>
    <col min="4" max="4" width="10.7109375" style="125" customWidth="1"/>
    <col min="5" max="5" width="13.85546875" customWidth="1"/>
    <col min="6" max="6" width="12.28515625" customWidth="1"/>
    <col min="7" max="7" width="11.28515625" customWidth="1"/>
    <col min="8" max="9" width="11.42578125" style="1"/>
    <col min="10" max="10" width="11.42578125" style="1" customWidth="1"/>
    <col min="11" max="12" width="11.42578125" customWidth="1"/>
    <col min="13" max="20" width="9.5703125" customWidth="1"/>
    <col min="21" max="23" width="11.42578125" customWidth="1"/>
  </cols>
  <sheetData>
    <row r="1" spans="1:25" s="1" customFormat="1" ht="25.5" customHeight="1">
      <c r="A1" s="135" t="s">
        <v>122</v>
      </c>
      <c r="D1" s="114"/>
    </row>
    <row r="2" spans="1:25" s="1" customFormat="1" ht="18.75" customHeight="1">
      <c r="D2" s="114"/>
      <c r="N2" s="77"/>
      <c r="O2" s="77"/>
      <c r="P2" s="77"/>
      <c r="Q2" s="77"/>
      <c r="R2" s="77"/>
      <c r="S2" s="77"/>
      <c r="T2" s="77"/>
      <c r="U2" s="77"/>
      <c r="V2" s="77"/>
    </row>
    <row r="3" spans="1:25" s="1" customFormat="1" ht="18">
      <c r="A3" s="126" t="s">
        <v>78</v>
      </c>
      <c r="B3" s="504" t="str">
        <f>FA!C4</f>
        <v>Testgegenstand</v>
      </c>
      <c r="C3" s="504"/>
      <c r="D3" s="504"/>
      <c r="N3" s="77"/>
      <c r="O3" s="77"/>
      <c r="P3" s="77"/>
      <c r="Q3" s="77"/>
      <c r="R3" s="77"/>
      <c r="S3" s="77"/>
      <c r="T3" s="77"/>
      <c r="U3" s="77"/>
      <c r="V3" s="77"/>
    </row>
    <row r="4" spans="1:25" s="1" customFormat="1" ht="18">
      <c r="A4" s="126" t="s">
        <v>77</v>
      </c>
      <c r="B4" s="507" t="str">
        <f>FA!C9</f>
        <v>214000TESTES</v>
      </c>
      <c r="C4" s="504"/>
      <c r="D4" s="504"/>
      <c r="N4" s="77"/>
      <c r="O4" s="77"/>
      <c r="P4" s="77"/>
      <c r="Q4" s="77"/>
      <c r="R4" s="77"/>
      <c r="S4" s="77"/>
      <c r="T4" s="77"/>
      <c r="U4" s="77"/>
      <c r="V4" s="77"/>
    </row>
    <row r="5" spans="1:25" s="1" customFormat="1" ht="14.25">
      <c r="A5" s="126" t="s">
        <v>121</v>
      </c>
      <c r="B5" s="505">
        <f>FA!C7</f>
        <v>41640</v>
      </c>
      <c r="C5" s="505"/>
      <c r="D5" s="505"/>
      <c r="N5" s="77"/>
      <c r="O5" s="77"/>
      <c r="P5" s="77"/>
      <c r="Q5" s="77"/>
      <c r="R5" s="77"/>
      <c r="S5" s="77"/>
      <c r="T5" s="77"/>
      <c r="U5" s="77"/>
      <c r="V5" s="77"/>
    </row>
    <row r="6" spans="1:25" s="1" customFormat="1" ht="14.25">
      <c r="A6" s="126" t="s">
        <v>90</v>
      </c>
      <c r="B6" s="506" t="str">
        <f>FA!C13</f>
        <v>Testkunde</v>
      </c>
      <c r="C6" s="506"/>
      <c r="D6" s="506"/>
      <c r="N6" s="77"/>
      <c r="O6" s="77"/>
      <c r="P6" s="77"/>
      <c r="Q6" s="77"/>
      <c r="R6" s="77"/>
      <c r="S6" s="77"/>
      <c r="T6" s="77"/>
      <c r="U6" s="77"/>
      <c r="V6" s="77"/>
    </row>
    <row r="8" spans="1:25" s="47" customFormat="1" ht="15" customHeight="1">
      <c r="A8" s="49"/>
      <c r="B8" s="49"/>
      <c r="C8" s="49"/>
      <c r="D8" s="115"/>
      <c r="F8" s="53"/>
      <c r="G8" s="53"/>
      <c r="H8" s="49"/>
      <c r="I8" s="49"/>
      <c r="J8" s="49"/>
      <c r="L8" s="49"/>
      <c r="M8" s="60"/>
      <c r="N8" s="61"/>
      <c r="O8" s="62"/>
      <c r="P8" s="76"/>
      <c r="Q8" s="49"/>
      <c r="R8" s="54"/>
      <c r="S8" s="54"/>
      <c r="T8" s="49"/>
      <c r="U8" s="49"/>
      <c r="V8" s="49"/>
      <c r="W8" s="49"/>
      <c r="X8" s="49"/>
      <c r="Y8" s="49"/>
    </row>
    <row r="9" spans="1:25" s="84" customFormat="1" ht="15" customHeight="1">
      <c r="A9" s="78" t="s">
        <v>34</v>
      </c>
      <c r="B9" s="79"/>
      <c r="C9" s="80" t="s">
        <v>117</v>
      </c>
      <c r="D9" s="116" t="s">
        <v>119</v>
      </c>
      <c r="E9" s="81"/>
      <c r="F9" s="82"/>
      <c r="G9" s="82"/>
      <c r="H9" s="83"/>
      <c r="I9" s="83"/>
      <c r="J9" s="83"/>
      <c r="L9" s="83"/>
      <c r="M9" s="83"/>
      <c r="N9" s="83"/>
      <c r="O9" s="85"/>
      <c r="P9" s="85"/>
      <c r="Q9" s="83"/>
      <c r="R9" s="83"/>
      <c r="S9" s="83"/>
      <c r="T9" s="83"/>
      <c r="U9" s="83"/>
      <c r="V9" s="83"/>
      <c r="W9" s="83"/>
      <c r="X9" s="83"/>
      <c r="Y9" s="83"/>
    </row>
    <row r="10" spans="1:25" s="84" customFormat="1" ht="15" customHeight="1">
      <c r="A10" s="109" t="s">
        <v>0</v>
      </c>
      <c r="B10" s="110"/>
      <c r="C10" s="111">
        <f>SUM(Ablauf!I20:I59)</f>
        <v>215.83333333333334</v>
      </c>
      <c r="D10" s="117">
        <f>C10/C15</f>
        <v>12.299726695470017</v>
      </c>
      <c r="E10" s="81"/>
      <c r="F10" s="82"/>
      <c r="H10" s="83"/>
      <c r="I10" s="83"/>
      <c r="J10" s="83"/>
      <c r="L10" s="83"/>
      <c r="M10" s="83"/>
      <c r="N10" s="83"/>
      <c r="O10" s="85"/>
      <c r="P10" s="85"/>
      <c r="Q10" s="83"/>
      <c r="R10" s="83"/>
      <c r="S10" s="83"/>
      <c r="T10" s="83"/>
      <c r="U10" s="83"/>
      <c r="V10" s="83"/>
      <c r="W10" s="83"/>
      <c r="X10" s="83"/>
      <c r="Y10" s="83"/>
    </row>
    <row r="11" spans="1:25" s="84" customFormat="1" ht="15" customHeight="1">
      <c r="A11" s="109" t="s">
        <v>115</v>
      </c>
      <c r="B11" s="110"/>
      <c r="C11" s="111">
        <f>SUM(Ablauf!J20:M59)</f>
        <v>199.29764588307688</v>
      </c>
      <c r="D11" s="117">
        <f>C11/$C$15</f>
        <v>11.357404982605765</v>
      </c>
      <c r="E11" s="81"/>
      <c r="F11" s="82"/>
      <c r="H11" s="83"/>
      <c r="I11" s="83"/>
      <c r="J11" s="83"/>
      <c r="L11" s="83"/>
      <c r="M11" s="83"/>
      <c r="N11" s="83"/>
      <c r="O11" s="85"/>
      <c r="P11" s="85"/>
      <c r="Q11" s="83"/>
      <c r="R11" s="83"/>
      <c r="S11" s="83"/>
      <c r="T11" s="83"/>
      <c r="U11" s="83"/>
      <c r="V11" s="83"/>
      <c r="W11" s="83"/>
      <c r="X11" s="83"/>
      <c r="Y11" s="83"/>
    </row>
    <row r="12" spans="1:25" s="84" customFormat="1" ht="15" customHeight="1">
      <c r="A12" s="109" t="s">
        <v>116</v>
      </c>
      <c r="B12" s="110"/>
      <c r="C12" s="111">
        <f>SUM(Ablauf!N20:O59)</f>
        <v>34.38000000000001</v>
      </c>
      <c r="D12" s="117">
        <f>C12/$C$15</f>
        <v>1.9592182414992709</v>
      </c>
      <c r="E12" s="81"/>
      <c r="F12" s="82"/>
      <c r="H12" s="83"/>
      <c r="I12" s="83"/>
      <c r="J12" s="83"/>
      <c r="L12" s="83"/>
      <c r="M12" s="83"/>
      <c r="N12" s="83"/>
      <c r="O12" s="85"/>
      <c r="P12" s="85"/>
      <c r="Q12" s="83"/>
      <c r="R12" s="83"/>
      <c r="S12" s="83"/>
      <c r="T12" s="83"/>
      <c r="U12" s="83"/>
      <c r="V12" s="83"/>
      <c r="W12" s="83"/>
      <c r="X12" s="83"/>
      <c r="Y12" s="83"/>
    </row>
    <row r="13" spans="1:25" s="84" customFormat="1" ht="15" customHeight="1">
      <c r="A13" s="109" t="s">
        <v>300</v>
      </c>
      <c r="B13" s="110"/>
      <c r="C13" s="113">
        <f>SUM(Ablauf!H20:H59)/60</f>
        <v>6.166666666666667</v>
      </c>
      <c r="D13" s="118">
        <f>C13/C15</f>
        <v>0.35142076272771477</v>
      </c>
      <c r="E13" s="81"/>
      <c r="F13" s="82"/>
      <c r="G13" s="82"/>
      <c r="H13" s="83"/>
      <c r="I13" s="83"/>
      <c r="J13" s="83"/>
      <c r="L13" s="83"/>
      <c r="M13" s="83"/>
      <c r="N13" s="83"/>
      <c r="O13" s="85"/>
      <c r="P13" s="85"/>
      <c r="Q13" s="83"/>
      <c r="R13" s="83"/>
      <c r="S13" s="83"/>
      <c r="T13" s="83"/>
      <c r="U13" s="83"/>
      <c r="V13" s="83"/>
      <c r="W13" s="83"/>
      <c r="X13" s="83"/>
      <c r="Y13" s="83"/>
    </row>
    <row r="14" spans="1:25" s="84" customFormat="1" ht="15" customHeight="1">
      <c r="A14" s="112" t="s">
        <v>110</v>
      </c>
      <c r="B14" s="110"/>
      <c r="C14" s="113">
        <f>SUM(Ablauf!P20:P59)</f>
        <v>9.9</v>
      </c>
      <c r="D14" s="119"/>
      <c r="E14" s="81"/>
      <c r="F14" s="82"/>
      <c r="G14" s="82"/>
      <c r="H14" s="83"/>
      <c r="I14" s="83"/>
      <c r="J14" s="83"/>
      <c r="L14" s="83"/>
      <c r="M14" s="83"/>
      <c r="N14" s="83"/>
      <c r="O14" s="85"/>
      <c r="P14" s="85"/>
      <c r="Q14" s="83"/>
      <c r="R14" s="83"/>
      <c r="S14" s="83"/>
      <c r="T14" s="83"/>
      <c r="U14" s="83"/>
      <c r="V14" s="83"/>
      <c r="W14" s="83"/>
      <c r="X14" s="83"/>
      <c r="Y14" s="83"/>
    </row>
    <row r="15" spans="1:25" s="84" customFormat="1" ht="15" customHeight="1">
      <c r="A15" s="109" t="s">
        <v>31</v>
      </c>
      <c r="B15" s="110"/>
      <c r="C15" s="113">
        <f>SUM(Ablauf!S20:S59)</f>
        <v>17.547815384615387</v>
      </c>
      <c r="D15" s="119"/>
      <c r="E15" s="81"/>
      <c r="F15" s="82"/>
      <c r="G15" s="82"/>
      <c r="H15" s="83"/>
      <c r="I15" s="83"/>
      <c r="J15" s="83"/>
      <c r="L15" s="83"/>
      <c r="M15" s="83"/>
      <c r="N15" s="83"/>
      <c r="O15" s="85"/>
      <c r="P15" s="85"/>
      <c r="Q15" s="83"/>
      <c r="R15" s="83"/>
      <c r="S15" s="83"/>
      <c r="T15" s="83"/>
      <c r="U15" s="83"/>
      <c r="V15" s="83"/>
      <c r="W15" s="83"/>
      <c r="X15" s="83"/>
      <c r="Y15" s="83"/>
    </row>
    <row r="16" spans="1:25" s="84" customFormat="1" ht="15" customHeight="1">
      <c r="A16" s="89"/>
      <c r="B16" s="79"/>
      <c r="C16" s="90"/>
      <c r="D16" s="120"/>
      <c r="E16" s="81"/>
      <c r="F16" s="82"/>
      <c r="G16" s="82"/>
      <c r="H16" s="83"/>
      <c r="I16" s="83"/>
      <c r="J16" s="83"/>
      <c r="L16" s="83"/>
      <c r="M16" s="83"/>
      <c r="N16" s="83"/>
      <c r="O16" s="85"/>
      <c r="P16" s="85"/>
      <c r="Q16" s="83"/>
      <c r="R16" s="83"/>
      <c r="S16" s="83"/>
      <c r="T16" s="83"/>
      <c r="U16" s="83"/>
      <c r="V16" s="83"/>
      <c r="W16" s="83"/>
      <c r="X16" s="83"/>
      <c r="Y16" s="83"/>
    </row>
    <row r="17" spans="1:25" s="84" customFormat="1" ht="15" customHeight="1">
      <c r="A17" s="91" t="s">
        <v>41</v>
      </c>
      <c r="B17" s="92"/>
      <c r="C17" s="92"/>
      <c r="D17" s="121"/>
      <c r="E17" s="93"/>
      <c r="F17" s="94"/>
      <c r="G17" s="94"/>
      <c r="H17" s="83"/>
      <c r="I17" s="83"/>
      <c r="J17" s="83"/>
      <c r="L17" s="83"/>
      <c r="M17" s="95"/>
      <c r="N17" s="95"/>
      <c r="O17" s="95"/>
      <c r="P17" s="96"/>
      <c r="Q17" s="83"/>
      <c r="R17" s="83"/>
      <c r="S17" s="83"/>
      <c r="T17" s="83"/>
      <c r="U17" s="83"/>
      <c r="V17" s="83"/>
      <c r="W17" s="83"/>
      <c r="X17" s="83"/>
      <c r="Y17" s="83"/>
    </row>
    <row r="18" spans="1:25" s="84" customFormat="1" ht="15">
      <c r="A18" s="103" t="s">
        <v>42</v>
      </c>
      <c r="B18" s="104"/>
      <c r="C18" s="111">
        <f>MK</f>
        <v>0</v>
      </c>
      <c r="D18" s="122"/>
      <c r="E18" s="93"/>
      <c r="F18" s="94"/>
      <c r="G18" s="94"/>
      <c r="H18" s="83"/>
      <c r="I18" s="83"/>
      <c r="J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</row>
    <row r="19" spans="1:25" s="84" customFormat="1" ht="15">
      <c r="A19" s="103" t="s">
        <v>43</v>
      </c>
      <c r="B19" s="104"/>
      <c r="C19" s="111">
        <f>WK</f>
        <v>0</v>
      </c>
      <c r="D19" s="122"/>
      <c r="E19" s="93"/>
      <c r="F19" s="94"/>
      <c r="G19" s="94"/>
      <c r="H19" s="83"/>
      <c r="I19" s="83"/>
      <c r="J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</row>
    <row r="20" spans="1:25" s="84" customFormat="1" ht="15">
      <c r="A20" s="103" t="s">
        <v>120</v>
      </c>
      <c r="B20" s="104"/>
      <c r="C20" s="111">
        <f>FK</f>
        <v>0</v>
      </c>
      <c r="D20" s="122"/>
      <c r="E20" s="93"/>
      <c r="F20" s="94"/>
      <c r="G20" s="94"/>
      <c r="H20" s="83"/>
      <c r="I20" s="83"/>
      <c r="J20" s="83"/>
    </row>
    <row r="21" spans="1:25" s="84" customFormat="1" ht="15" customHeight="1">
      <c r="A21" s="103" t="s">
        <v>46</v>
      </c>
      <c r="B21" s="476">
        <v>0</v>
      </c>
      <c r="C21" s="111">
        <f>B21*86/Menge</f>
        <v>0</v>
      </c>
      <c r="D21" s="122"/>
      <c r="E21" s="93"/>
      <c r="F21" s="93"/>
      <c r="G21" s="93"/>
      <c r="H21" s="83"/>
      <c r="I21" s="83"/>
      <c r="J21" s="83"/>
    </row>
    <row r="22" spans="1:25" s="84" customFormat="1" ht="15">
      <c r="A22" s="103" t="s">
        <v>44</v>
      </c>
      <c r="B22" s="477">
        <v>0.35</v>
      </c>
      <c r="C22" s="111">
        <f>SUM(C10:C12,C21)*B22</f>
        <v>157.32884272574356</v>
      </c>
      <c r="D22" s="122"/>
      <c r="E22" s="93"/>
      <c r="F22" s="93"/>
      <c r="G22" s="93"/>
      <c r="H22" s="83"/>
      <c r="I22" s="83"/>
      <c r="J22" s="83"/>
    </row>
    <row r="23" spans="1:25" s="84" customFormat="1" ht="16.5" thickBot="1">
      <c r="A23" s="98" t="s">
        <v>114</v>
      </c>
      <c r="B23" s="429"/>
      <c r="C23" s="99">
        <f>SUM(C10:C12)+SUM(C18:C20)/Menge+SUM(C21:C22)</f>
        <v>606.83982194215378</v>
      </c>
      <c r="D23" s="123">
        <f>C23/C15</f>
        <v>34.582072391426323</v>
      </c>
      <c r="E23" s="100"/>
      <c r="H23" s="83"/>
      <c r="I23" s="83"/>
      <c r="J23" s="83"/>
    </row>
    <row r="24" spans="1:25" s="84" customFormat="1" ht="15" customHeight="1" thickTop="1">
      <c r="A24" s="97"/>
      <c r="B24" s="428"/>
      <c r="C24" s="86"/>
      <c r="D24" s="124"/>
      <c r="E24" s="101"/>
      <c r="H24" s="83"/>
      <c r="I24" s="83"/>
      <c r="J24" s="83"/>
    </row>
    <row r="25" spans="1:25" s="84" customFormat="1" ht="15" customHeight="1">
      <c r="A25" s="97" t="s">
        <v>45</v>
      </c>
      <c r="B25" s="430">
        <v>0.05</v>
      </c>
      <c r="C25" s="86">
        <f>C23*B25</f>
        <v>30.341991097107691</v>
      </c>
      <c r="D25" s="124">
        <f>D23*B25</f>
        <v>1.7291036195713163</v>
      </c>
      <c r="E25" s="93"/>
      <c r="H25" s="83"/>
      <c r="I25" s="83"/>
      <c r="J25" s="83"/>
    </row>
    <row r="26" spans="1:25" s="84" customFormat="1" ht="15.75" customHeight="1" thickBot="1">
      <c r="A26" s="98" t="s">
        <v>113</v>
      </c>
      <c r="B26" s="429"/>
      <c r="C26" s="99">
        <f>SUM(C23:C25)</f>
        <v>637.18181303926144</v>
      </c>
      <c r="D26" s="123">
        <f>SUM(D23:D25)</f>
        <v>36.311176010997642</v>
      </c>
      <c r="E26" s="100"/>
      <c r="H26" s="83"/>
      <c r="I26" s="83"/>
      <c r="J26" s="83"/>
    </row>
    <row r="27" spans="1:25" s="84" customFormat="1" ht="16.5" thickTop="1">
      <c r="A27" s="97"/>
      <c r="B27" s="428"/>
      <c r="C27" s="86"/>
      <c r="D27" s="124"/>
      <c r="E27" s="101"/>
      <c r="H27" s="83"/>
      <c r="I27" s="83"/>
      <c r="J27" s="83"/>
    </row>
    <row r="28" spans="1:25" s="84" customFormat="1" ht="15">
      <c r="A28" s="176" t="s">
        <v>217</v>
      </c>
      <c r="B28" s="478">
        <v>0.2</v>
      </c>
      <c r="C28" s="86">
        <f>C26*B28</f>
        <v>127.43636260785229</v>
      </c>
      <c r="D28" s="124">
        <f>C28/C15</f>
        <v>7.2622352021995269</v>
      </c>
      <c r="E28" s="93"/>
      <c r="H28" s="83"/>
      <c r="I28" s="83"/>
      <c r="J28" s="83"/>
    </row>
    <row r="29" spans="1:25" s="84" customFormat="1" ht="16.5" thickBot="1">
      <c r="A29" s="98" t="s">
        <v>112</v>
      </c>
      <c r="B29" s="429"/>
      <c r="C29" s="99">
        <f>C28+C26</f>
        <v>764.61817564711373</v>
      </c>
      <c r="D29" s="123">
        <f>C29/C15</f>
        <v>43.573411213197161</v>
      </c>
      <c r="E29" s="100"/>
      <c r="H29" s="83"/>
      <c r="I29" s="83"/>
      <c r="J29" s="83"/>
    </row>
    <row r="30" spans="1:25" s="101" customFormat="1" ht="16.5" thickTop="1">
      <c r="A30" s="78"/>
      <c r="B30" s="428"/>
      <c r="C30" s="102"/>
      <c r="D30" s="124"/>
      <c r="E30" s="100"/>
    </row>
    <row r="31" spans="1:25" s="84" customFormat="1" ht="15">
      <c r="A31" s="97" t="s">
        <v>109</v>
      </c>
      <c r="B31" s="478">
        <v>0.02</v>
      </c>
      <c r="C31" s="86">
        <f>C29*B31</f>
        <v>15.292363512942275</v>
      </c>
      <c r="D31" s="124"/>
      <c r="E31" s="93"/>
      <c r="H31" s="83"/>
      <c r="I31" s="83"/>
      <c r="J31" s="83"/>
    </row>
    <row r="32" spans="1:25" s="84" customFormat="1" ht="18.75" thickBot="1">
      <c r="A32" s="106" t="s">
        <v>111</v>
      </c>
      <c r="B32" s="107"/>
      <c r="C32" s="108">
        <f>SUM(C31+C29)</f>
        <v>779.91053916005603</v>
      </c>
      <c r="D32" s="123">
        <f>C32/C15</f>
        <v>44.444879437461104</v>
      </c>
      <c r="E32" s="100"/>
      <c r="H32" s="83"/>
      <c r="I32" s="83"/>
      <c r="J32" s="83"/>
    </row>
    <row r="33" spans="1:25" s="84" customFormat="1" ht="15.75" thickTop="1">
      <c r="A33" s="127"/>
      <c r="B33" s="128"/>
      <c r="C33" s="128"/>
      <c r="D33" s="124"/>
      <c r="E33" s="93"/>
      <c r="F33" s="93"/>
      <c r="G33" s="93"/>
      <c r="H33" s="83"/>
      <c r="I33" s="83"/>
      <c r="J33" s="83"/>
    </row>
    <row r="34" spans="1:25" s="84" customFormat="1" ht="15.75">
      <c r="A34" s="129" t="s">
        <v>118</v>
      </c>
      <c r="B34" s="130"/>
      <c r="C34" s="130"/>
      <c r="D34" s="124"/>
      <c r="E34" s="93"/>
      <c r="F34" s="93"/>
      <c r="G34" s="93"/>
      <c r="H34" s="83"/>
      <c r="I34" s="83"/>
      <c r="J34" s="83"/>
    </row>
    <row r="35" spans="1:25" s="84" customFormat="1" ht="15">
      <c r="A35" s="131" t="s">
        <v>301</v>
      </c>
      <c r="B35" s="132"/>
      <c r="C35" s="133"/>
      <c r="D35" s="254">
        <f>C13</f>
        <v>6.166666666666667</v>
      </c>
      <c r="H35" s="83"/>
      <c r="I35" s="83"/>
      <c r="J35" s="83"/>
    </row>
    <row r="36" spans="1:25" s="84" customFormat="1" ht="15">
      <c r="A36" s="131" t="s">
        <v>35</v>
      </c>
      <c r="B36" s="134"/>
      <c r="C36" s="133"/>
      <c r="D36" s="117">
        <f>C23/Ablauf!$D$9</f>
        <v>379.27488871384611</v>
      </c>
      <c r="E36" s="105"/>
      <c r="F36" s="105"/>
      <c r="G36" s="94"/>
      <c r="H36" s="83"/>
      <c r="I36" s="83"/>
      <c r="J36" s="83"/>
    </row>
    <row r="37" spans="1:25" s="84" customFormat="1" ht="15">
      <c r="A37" s="131" t="s">
        <v>48</v>
      </c>
      <c r="B37" s="134"/>
      <c r="C37" s="133"/>
      <c r="D37" s="117">
        <f>C26/C15</f>
        <v>36.311176010997634</v>
      </c>
      <c r="E37" s="105"/>
      <c r="F37" s="105"/>
      <c r="G37" s="94"/>
      <c r="H37" s="83"/>
      <c r="I37" s="83"/>
      <c r="J37" s="83"/>
    </row>
    <row r="38" spans="1:25" s="84" customFormat="1" ht="15">
      <c r="A38" s="131" t="s">
        <v>36</v>
      </c>
      <c r="B38" s="134"/>
      <c r="C38" s="133"/>
      <c r="D38" s="118">
        <f>C13*60/Ablauf!$D$9</f>
        <v>231.25</v>
      </c>
      <c r="E38" s="87"/>
      <c r="F38" s="87"/>
      <c r="G38" s="94"/>
      <c r="H38" s="83"/>
      <c r="I38" s="83"/>
      <c r="J38" s="83"/>
    </row>
    <row r="39" spans="1:25" s="84" customFormat="1" ht="15">
      <c r="A39" s="131" t="s">
        <v>37</v>
      </c>
      <c r="B39" s="134"/>
      <c r="C39" s="133"/>
      <c r="D39" s="118">
        <f>D13*60</f>
        <v>21.085245763662886</v>
      </c>
      <c r="E39" s="88"/>
      <c r="F39" s="88"/>
      <c r="G39" s="94"/>
      <c r="H39" s="83"/>
      <c r="I39" s="83"/>
      <c r="J39" s="83"/>
    </row>
    <row r="40" spans="1:25" s="84" customFormat="1" ht="15">
      <c r="A40" s="131"/>
      <c r="B40" s="134"/>
      <c r="C40" s="133"/>
      <c r="D40" s="117"/>
      <c r="E40" s="88"/>
      <c r="F40" s="88"/>
      <c r="G40" s="94"/>
      <c r="H40" s="83"/>
      <c r="I40" s="83"/>
      <c r="J40" s="83"/>
    </row>
    <row r="41" spans="1:25" s="84" customFormat="1" ht="15">
      <c r="A41" s="131" t="s">
        <v>71</v>
      </c>
      <c r="B41" s="134"/>
      <c r="C41" s="133"/>
      <c r="D41" s="423">
        <f>SUMIF(Ablauf!$E$20:$E$59,2,Ablauf!$H$20:$H$59)</f>
        <v>10</v>
      </c>
      <c r="E41" s="88"/>
      <c r="F41" s="88"/>
      <c r="G41" s="94"/>
      <c r="H41" s="83"/>
      <c r="I41" s="83"/>
      <c r="J41" s="83"/>
    </row>
    <row r="42" spans="1:25" s="84" customFormat="1" ht="15">
      <c r="A42" s="131" t="s">
        <v>307</v>
      </c>
      <c r="B42" s="134"/>
      <c r="C42" s="133"/>
      <c r="D42" s="423">
        <f>SUMIF(Ablauf!$E$20:$E$59,3,Ablauf!$H$20:$H$59)</f>
        <v>300</v>
      </c>
      <c r="E42" s="88"/>
      <c r="F42" s="88"/>
      <c r="G42" s="94"/>
      <c r="H42" s="83"/>
      <c r="I42" s="83"/>
      <c r="J42" s="83"/>
    </row>
    <row r="43" spans="1:25" s="84" customFormat="1" ht="15">
      <c r="A43" s="131" t="s">
        <v>343</v>
      </c>
      <c r="B43" s="134"/>
      <c r="C43" s="133"/>
      <c r="D43" s="423">
        <f>SUMIF(Ablauf!$E$20:$E$59,4,Ablauf!$H$20:$H$59)</f>
        <v>20</v>
      </c>
      <c r="E43" s="88"/>
      <c r="F43" s="88"/>
      <c r="G43" s="94"/>
      <c r="H43" s="83"/>
      <c r="I43" s="83"/>
      <c r="J43" s="83"/>
    </row>
    <row r="44" spans="1:25" s="84" customFormat="1" ht="15">
      <c r="A44" s="131" t="s">
        <v>51</v>
      </c>
      <c r="B44" s="134"/>
      <c r="C44" s="133"/>
      <c r="D44" s="423">
        <f>SUMIF(Ablauf!$E$20:$E$59,5,Ablauf!$H$20:$H$59)</f>
        <v>20</v>
      </c>
      <c r="E44" s="88"/>
      <c r="F44" s="88"/>
      <c r="G44" s="94"/>
      <c r="H44" s="83"/>
      <c r="I44" s="83"/>
      <c r="J44" s="83"/>
    </row>
    <row r="45" spans="1:25" s="84" customFormat="1" ht="15">
      <c r="A45" s="131" t="s">
        <v>308</v>
      </c>
      <c r="B45" s="134"/>
      <c r="C45" s="133"/>
      <c r="D45" s="423">
        <f>SUMIF(Ablauf!$E$20:$E$59,6,Ablauf!$H$20:$H$59)</f>
        <v>10</v>
      </c>
      <c r="E45" s="88"/>
      <c r="F45" s="88"/>
      <c r="G45" s="94"/>
      <c r="H45" s="83"/>
      <c r="I45" s="83"/>
      <c r="J45" s="83"/>
    </row>
    <row r="46" spans="1:25" s="84" customFormat="1" ht="15">
      <c r="A46" s="131" t="s">
        <v>344</v>
      </c>
      <c r="B46" s="134"/>
      <c r="C46" s="133"/>
      <c r="D46" s="423">
        <f>SUMIF(Ablauf!$E$20:$E$59,7,Ablauf!$H$20:$H$59)</f>
        <v>10</v>
      </c>
      <c r="E46" s="88"/>
      <c r="F46" s="88"/>
      <c r="G46" s="94"/>
      <c r="H46" s="83"/>
      <c r="I46" s="83"/>
      <c r="J46" s="83"/>
    </row>
    <row r="47" spans="1:25" ht="13.5" thickBot="1">
      <c r="A47" s="1"/>
      <c r="B47" s="1"/>
      <c r="C47" s="1"/>
      <c r="D47" s="114"/>
      <c r="E47" s="1"/>
      <c r="F47" s="1"/>
      <c r="G47" s="1"/>
    </row>
    <row r="48" spans="1:25" s="320" customFormat="1" ht="14.25">
      <c r="A48" s="500" t="s">
        <v>98</v>
      </c>
      <c r="B48" s="501"/>
      <c r="C48" s="337" t="s">
        <v>100</v>
      </c>
      <c r="D48" s="31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</row>
    <row r="49" spans="1:25" s="320" customFormat="1" ht="15" thickBot="1">
      <c r="A49" s="502" t="s">
        <v>327</v>
      </c>
      <c r="B49" s="503"/>
      <c r="C49" s="322" t="s">
        <v>101</v>
      </c>
      <c r="D49" s="324"/>
      <c r="G49" s="321"/>
      <c r="H49" s="321"/>
      <c r="I49" s="321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</row>
    <row r="50" spans="1:25" s="1" customFormat="1">
      <c r="D50" s="114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s="1" customFormat="1">
      <c r="D51" s="114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s="1" customFormat="1">
      <c r="D52" s="114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s="1" customFormat="1">
      <c r="D53" s="114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s="1" customFormat="1">
      <c r="D54" s="11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s="1" customFormat="1">
      <c r="D55" s="114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1:25" s="1" customFormat="1">
      <c r="D56" s="114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1:25" s="1" customFormat="1">
      <c r="D57" s="114"/>
    </row>
    <row r="58" spans="1:25" s="1" customFormat="1">
      <c r="D58" s="114"/>
    </row>
    <row r="59" spans="1:25" s="1" customFormat="1">
      <c r="D59" s="114"/>
    </row>
    <row r="60" spans="1:25" s="1" customFormat="1">
      <c r="D60" s="114"/>
    </row>
    <row r="61" spans="1:25" s="1" customFormat="1">
      <c r="D61" s="114"/>
    </row>
    <row r="62" spans="1:25" s="1" customFormat="1">
      <c r="D62" s="114"/>
    </row>
    <row r="63" spans="1:25" s="1" customFormat="1">
      <c r="D63" s="114"/>
    </row>
    <row r="64" spans="1:25" s="1" customFormat="1">
      <c r="D64" s="114"/>
    </row>
    <row r="65" spans="4:4" s="1" customFormat="1">
      <c r="D65" s="114"/>
    </row>
    <row r="66" spans="4:4" s="1" customFormat="1">
      <c r="D66" s="114"/>
    </row>
    <row r="67" spans="4:4" s="1" customFormat="1">
      <c r="D67" s="114"/>
    </row>
    <row r="68" spans="4:4" s="1" customFormat="1">
      <c r="D68" s="114"/>
    </row>
    <row r="69" spans="4:4" s="1" customFormat="1">
      <c r="D69" s="114"/>
    </row>
    <row r="70" spans="4:4" s="1" customFormat="1">
      <c r="D70" s="114"/>
    </row>
    <row r="71" spans="4:4" s="1" customFormat="1">
      <c r="D71" s="114"/>
    </row>
    <row r="72" spans="4:4" s="1" customFormat="1">
      <c r="D72" s="114"/>
    </row>
    <row r="73" spans="4:4" s="1" customFormat="1">
      <c r="D73" s="114"/>
    </row>
  </sheetData>
  <mergeCells count="6">
    <mergeCell ref="A48:B48"/>
    <mergeCell ref="A49:B49"/>
    <mergeCell ref="B3:D3"/>
    <mergeCell ref="B5:D5"/>
    <mergeCell ref="B6:D6"/>
    <mergeCell ref="B4:D4"/>
  </mergeCells>
  <phoneticPr fontId="0" type="noConversion"/>
  <printOptions horizontalCentered="1"/>
  <pageMargins left="0.78740157480314965" right="0.78740157480314965" top="0.98425196850393704" bottom="0.82677165354330717" header="0.51181102362204722" footer="0.51181102362204722"/>
  <pageSetup paperSize="9" scale="95" orientation="portrait" r:id="rId1"/>
  <headerFooter alignWithMargins="0"/>
  <rowBreaks count="1" manualBreakCount="1">
    <brk id="4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V41"/>
  <sheetViews>
    <sheetView view="pageBreakPreview" topLeftCell="A16" zoomScaleNormal="100" zoomScaleSheetLayoutView="100" workbookViewId="0">
      <selection activeCell="O28" sqref="O28"/>
    </sheetView>
  </sheetViews>
  <sheetFormatPr baseColWidth="10" defaultRowHeight="12.75"/>
  <cols>
    <col min="1" max="1" width="36.85546875" customWidth="1"/>
    <col min="2" max="2" width="13.42578125" customWidth="1"/>
    <col min="3" max="5" width="7.42578125" customWidth="1"/>
    <col min="6" max="6" width="7.28515625" customWidth="1"/>
    <col min="7" max="7" width="11.140625" customWidth="1"/>
    <col min="8" max="13" width="11.42578125" hidden="1" customWidth="1"/>
    <col min="14" max="15" width="11.42578125" customWidth="1"/>
  </cols>
  <sheetData>
    <row r="1" spans="1:22" s="1" customFormat="1" ht="25.5" customHeight="1">
      <c r="A1" s="135" t="s">
        <v>326</v>
      </c>
      <c r="D1" s="114"/>
    </row>
    <row r="2" spans="1:22" s="1" customFormat="1" ht="18.75" customHeight="1">
      <c r="D2" s="114"/>
      <c r="N2" s="77"/>
      <c r="O2" s="77"/>
      <c r="P2" s="77"/>
      <c r="Q2" s="77"/>
      <c r="R2" s="77"/>
      <c r="S2" s="77"/>
      <c r="T2" s="77"/>
      <c r="U2" s="77"/>
      <c r="V2" s="77"/>
    </row>
    <row r="3" spans="1:22" s="1" customFormat="1" ht="18">
      <c r="A3" s="126" t="s">
        <v>78</v>
      </c>
      <c r="B3" s="510" t="str">
        <f>FA!C4</f>
        <v>Testgegenstand</v>
      </c>
      <c r="C3" s="510"/>
      <c r="D3" s="510"/>
      <c r="E3" s="510"/>
      <c r="F3" s="510"/>
      <c r="N3" s="77"/>
      <c r="O3" s="77"/>
      <c r="P3" s="77"/>
      <c r="Q3" s="77"/>
      <c r="R3" s="77"/>
      <c r="S3" s="77"/>
      <c r="T3" s="77"/>
      <c r="U3" s="77"/>
      <c r="V3" s="77"/>
    </row>
    <row r="4" spans="1:22" s="1" customFormat="1" ht="18">
      <c r="A4" s="126" t="s">
        <v>77</v>
      </c>
      <c r="B4" s="507" t="str">
        <f>FA!C9</f>
        <v>214000TESTES</v>
      </c>
      <c r="C4" s="507"/>
      <c r="D4" s="507"/>
      <c r="E4" s="507"/>
      <c r="F4" s="507"/>
      <c r="N4" s="77"/>
      <c r="O4" s="77"/>
      <c r="P4" s="77"/>
      <c r="Q4" s="77"/>
      <c r="R4" s="77"/>
      <c r="S4" s="77"/>
      <c r="T4" s="77"/>
      <c r="U4" s="77"/>
      <c r="V4" s="77"/>
    </row>
    <row r="5" spans="1:22" s="1" customFormat="1" ht="14.25">
      <c r="A5" s="126" t="s">
        <v>121</v>
      </c>
      <c r="B5" s="505">
        <f>FA!C7</f>
        <v>41640</v>
      </c>
      <c r="C5" s="505"/>
      <c r="D5" s="505"/>
      <c r="E5" s="505"/>
      <c r="F5" s="505"/>
      <c r="N5" s="77"/>
      <c r="O5" s="77"/>
      <c r="P5" s="77"/>
      <c r="Q5" s="77"/>
      <c r="R5" s="77"/>
      <c r="S5" s="77"/>
      <c r="T5" s="77"/>
      <c r="U5" s="77"/>
      <c r="V5" s="77"/>
    </row>
    <row r="6" spans="1:22" s="1" customFormat="1" ht="14.25">
      <c r="A6" s="126" t="s">
        <v>90</v>
      </c>
      <c r="B6" s="506" t="str">
        <f>FA!C13</f>
        <v>Testkunde</v>
      </c>
      <c r="C6" s="506"/>
      <c r="D6" s="506"/>
      <c r="E6" s="506"/>
      <c r="F6" s="506"/>
      <c r="N6" s="77"/>
      <c r="O6" s="77"/>
      <c r="P6" s="77"/>
      <c r="Q6" s="77"/>
      <c r="R6" s="77"/>
      <c r="S6" s="77"/>
      <c r="T6" s="77"/>
      <c r="U6" s="77"/>
      <c r="V6" s="77"/>
    </row>
    <row r="7" spans="1:22">
      <c r="D7" s="125"/>
      <c r="H7" s="1"/>
      <c r="I7" s="1"/>
      <c r="J7" s="1"/>
    </row>
    <row r="9" spans="1:22" ht="15">
      <c r="A9" s="150"/>
      <c r="C9" s="151" t="s">
        <v>154</v>
      </c>
      <c r="D9" s="151" t="s">
        <v>155</v>
      </c>
      <c r="E9" s="151" t="s">
        <v>156</v>
      </c>
      <c r="F9" s="152" t="s">
        <v>157</v>
      </c>
      <c r="H9" t="s">
        <v>158</v>
      </c>
      <c r="I9" t="s">
        <v>159</v>
      </c>
      <c r="K9" t="s">
        <v>160</v>
      </c>
    </row>
    <row r="10" spans="1:22" ht="15">
      <c r="A10" s="153" t="s">
        <v>161</v>
      </c>
      <c r="B10" s="479" t="s">
        <v>158</v>
      </c>
      <c r="C10" s="154">
        <f>IF(B10="ja",0,1)</f>
        <v>0</v>
      </c>
      <c r="D10" s="154">
        <f>IF(B10="ja",1,0)</f>
        <v>1</v>
      </c>
      <c r="E10" s="155">
        <v>0</v>
      </c>
      <c r="F10" s="156"/>
      <c r="H10" t="s">
        <v>162</v>
      </c>
      <c r="I10" t="s">
        <v>163</v>
      </c>
      <c r="K10" s="177" t="s">
        <v>218</v>
      </c>
    </row>
    <row r="11" spans="1:22" ht="15">
      <c r="A11" s="153" t="s">
        <v>164</v>
      </c>
      <c r="B11" s="480">
        <v>4150000</v>
      </c>
      <c r="C11" s="154">
        <f>IF(B11&lt;=49987,0,1)</f>
        <v>1</v>
      </c>
      <c r="D11" s="154">
        <f>IF(B11&gt;49987,0,1)</f>
        <v>0</v>
      </c>
      <c r="E11" s="155">
        <v>0</v>
      </c>
      <c r="F11" s="157"/>
      <c r="I11" t="s">
        <v>165</v>
      </c>
      <c r="K11" t="s">
        <v>166</v>
      </c>
    </row>
    <row r="12" spans="1:22" ht="15">
      <c r="A12" s="153" t="s">
        <v>167</v>
      </c>
      <c r="B12" s="480">
        <v>245644</v>
      </c>
      <c r="C12" s="154">
        <f>IF(B12&lt;=B11/10,1,0)</f>
        <v>1</v>
      </c>
      <c r="D12" s="154">
        <f>IF(B12&gt;=B11/10,1,0)</f>
        <v>0</v>
      </c>
      <c r="E12" s="155">
        <f>IF(B12&gt;=B11/2,1,0)</f>
        <v>0</v>
      </c>
      <c r="F12" s="157"/>
      <c r="I12" t="s">
        <v>168</v>
      </c>
      <c r="K12" t="s">
        <v>169</v>
      </c>
    </row>
    <row r="13" spans="1:22" ht="15">
      <c r="A13" s="153" t="s">
        <v>170</v>
      </c>
      <c r="B13" s="479" t="s">
        <v>162</v>
      </c>
      <c r="C13" s="154">
        <f>IF(B13="ja",0,1)</f>
        <v>1</v>
      </c>
      <c r="D13" s="154">
        <f>IF(B13="ja",1,0)</f>
        <v>0</v>
      </c>
      <c r="E13" s="155">
        <v>0</v>
      </c>
      <c r="F13" s="157"/>
    </row>
    <row r="14" spans="1:22" ht="15">
      <c r="A14" s="153" t="s">
        <v>171</v>
      </c>
      <c r="B14" s="479" t="s">
        <v>159</v>
      </c>
      <c r="C14" s="154">
        <f>IF(B14="HL",1,0)</f>
        <v>1</v>
      </c>
      <c r="D14" s="154">
        <f>IF(B14&lt;&gt;"HL",1,0)</f>
        <v>0</v>
      </c>
      <c r="E14" s="155">
        <v>0</v>
      </c>
      <c r="F14" s="157"/>
      <c r="J14">
        <v>20</v>
      </c>
      <c r="K14" t="s">
        <v>172</v>
      </c>
    </row>
    <row r="15" spans="1:22" ht="15">
      <c r="A15" s="153" t="s">
        <v>173</v>
      </c>
      <c r="B15" s="479" t="s">
        <v>162</v>
      </c>
      <c r="C15" s="154">
        <f>IF(B15="ja",0,1)</f>
        <v>1</v>
      </c>
      <c r="D15" s="154">
        <f>IF(B15="ja",1,0)</f>
        <v>0</v>
      </c>
      <c r="E15" s="155">
        <v>0</v>
      </c>
      <c r="F15" s="157"/>
      <c r="J15">
        <v>40</v>
      </c>
      <c r="K15" t="s">
        <v>174</v>
      </c>
    </row>
    <row r="16" spans="1:22" ht="15">
      <c r="A16" s="153" t="s">
        <v>175</v>
      </c>
      <c r="B16" s="479" t="s">
        <v>158</v>
      </c>
      <c r="C16" s="154">
        <f t="shared" ref="C16:C24" si="0">IF(B16="ja",1,0)</f>
        <v>1</v>
      </c>
      <c r="D16" s="154">
        <f>IF(B16="ja",0,1)</f>
        <v>0</v>
      </c>
      <c r="E16" s="155">
        <f>IF(AND(B27&lt;2,B16="nein"),1,0)</f>
        <v>0</v>
      </c>
      <c r="F16" s="157"/>
      <c r="J16">
        <v>60</v>
      </c>
      <c r="K16" t="s">
        <v>5</v>
      </c>
    </row>
    <row r="17" spans="1:12" ht="15">
      <c r="A17" s="153" t="s">
        <v>176</v>
      </c>
      <c r="B17" s="479" t="s">
        <v>158</v>
      </c>
      <c r="C17" s="154">
        <f t="shared" si="0"/>
        <v>1</v>
      </c>
      <c r="D17" s="154">
        <f>IF(B17="ja",0,1)</f>
        <v>0</v>
      </c>
      <c r="E17" s="155">
        <v>0</v>
      </c>
      <c r="F17" s="157"/>
      <c r="J17">
        <v>90</v>
      </c>
      <c r="K17" t="s">
        <v>177</v>
      </c>
    </row>
    <row r="18" spans="1:12" ht="15">
      <c r="A18" s="153" t="s">
        <v>178</v>
      </c>
      <c r="B18" s="479" t="s">
        <v>158</v>
      </c>
      <c r="C18" s="154">
        <f t="shared" si="0"/>
        <v>1</v>
      </c>
      <c r="D18" s="154">
        <f>IF(B18="ja",0,1)</f>
        <v>0</v>
      </c>
      <c r="E18" s="155">
        <v>0</v>
      </c>
      <c r="F18" s="157"/>
      <c r="J18">
        <v>120</v>
      </c>
      <c r="K18" t="s">
        <v>179</v>
      </c>
    </row>
    <row r="19" spans="1:12" ht="15">
      <c r="A19" s="153" t="s">
        <v>180</v>
      </c>
      <c r="B19" s="479" t="s">
        <v>162</v>
      </c>
      <c r="C19" s="154">
        <f>IF(B19="ja",0,1)</f>
        <v>1</v>
      </c>
      <c r="D19" s="154">
        <f>IF(B19="ja",1,0)</f>
        <v>0</v>
      </c>
      <c r="E19" s="155">
        <v>0</v>
      </c>
      <c r="F19" s="157"/>
      <c r="J19">
        <v>140</v>
      </c>
      <c r="K19" t="s">
        <v>181</v>
      </c>
    </row>
    <row r="20" spans="1:12" ht="15">
      <c r="A20" s="153" t="s">
        <v>182</v>
      </c>
      <c r="B20" s="479" t="s">
        <v>158</v>
      </c>
      <c r="C20" s="154">
        <f>IF(B20="ja",1,0)</f>
        <v>1</v>
      </c>
      <c r="D20" s="154">
        <v>0</v>
      </c>
      <c r="E20" s="155">
        <f>IF(B20="ja",0,1)</f>
        <v>0</v>
      </c>
      <c r="F20" s="157"/>
      <c r="J20" s="158">
        <f>SUM(C10:C34)+SUM(D10:D34)*10+SUM(E10:E34)*50</f>
        <v>86</v>
      </c>
      <c r="K20" s="158" t="s">
        <v>183</v>
      </c>
      <c r="L20" s="158"/>
    </row>
    <row r="21" spans="1:12" ht="15">
      <c r="A21" s="153" t="s">
        <v>184</v>
      </c>
      <c r="B21" s="479" t="s">
        <v>158</v>
      </c>
      <c r="C21" s="154">
        <f t="shared" si="0"/>
        <v>1</v>
      </c>
      <c r="D21" s="154">
        <v>0</v>
      </c>
      <c r="E21" s="155">
        <f>IF(B21="ja",0,1)</f>
        <v>0</v>
      </c>
      <c r="F21" s="157"/>
    </row>
    <row r="22" spans="1:12" ht="15">
      <c r="A22" s="153" t="s">
        <v>185</v>
      </c>
      <c r="B22" s="479" t="s">
        <v>158</v>
      </c>
      <c r="C22" s="154">
        <f t="shared" si="0"/>
        <v>1</v>
      </c>
      <c r="D22" s="154">
        <v>0</v>
      </c>
      <c r="E22" s="155">
        <f>IF(B22="ja",0,1)</f>
        <v>0</v>
      </c>
      <c r="F22" s="157"/>
    </row>
    <row r="23" spans="1:12" ht="15">
      <c r="A23" s="153" t="s">
        <v>186</v>
      </c>
      <c r="B23" s="479" t="s">
        <v>158</v>
      </c>
      <c r="C23" s="154">
        <f t="shared" si="0"/>
        <v>1</v>
      </c>
      <c r="D23" s="154">
        <v>0</v>
      </c>
      <c r="E23" s="155">
        <f>IF(B23="ja",0,1)</f>
        <v>0</v>
      </c>
      <c r="F23" s="157"/>
    </row>
    <row r="24" spans="1:12" ht="15">
      <c r="A24" s="153" t="s">
        <v>187</v>
      </c>
      <c r="B24" s="479" t="s">
        <v>158</v>
      </c>
      <c r="C24" s="154">
        <f t="shared" si="0"/>
        <v>1</v>
      </c>
      <c r="D24" s="154">
        <v>0</v>
      </c>
      <c r="E24" s="155">
        <f>IF(B24="ja",0,1)</f>
        <v>0</v>
      </c>
      <c r="F24" s="157"/>
    </row>
    <row r="25" spans="1:12" ht="15">
      <c r="A25" s="153" t="s">
        <v>188</v>
      </c>
      <c r="B25" s="479" t="s">
        <v>162</v>
      </c>
      <c r="C25" s="154">
        <f>IF(B25="ja",0,1)</f>
        <v>1</v>
      </c>
      <c r="D25" s="154">
        <f>IF(B25="ja",1,0)</f>
        <v>0</v>
      </c>
      <c r="E25" s="155">
        <v>0</v>
      </c>
      <c r="F25" s="157"/>
    </row>
    <row r="26" spans="1:12" ht="15">
      <c r="A26" s="153" t="s">
        <v>189</v>
      </c>
      <c r="B26" s="479" t="s">
        <v>158</v>
      </c>
      <c r="C26" s="154">
        <f>IF(B26="ja",0,1)</f>
        <v>0</v>
      </c>
      <c r="D26" s="154">
        <f>IF(B26="ja",1,0)</f>
        <v>1</v>
      </c>
      <c r="E26" s="155">
        <v>0</v>
      </c>
      <c r="F26" s="157">
        <f>IF(B26="ja",4*(B27+1),1)</f>
        <v>4</v>
      </c>
    </row>
    <row r="27" spans="1:12" ht="15">
      <c r="A27" s="153" t="s">
        <v>190</v>
      </c>
      <c r="B27" s="479">
        <v>0</v>
      </c>
      <c r="C27" s="154">
        <v>0</v>
      </c>
      <c r="D27" s="154">
        <v>0</v>
      </c>
      <c r="E27" s="155">
        <v>0</v>
      </c>
      <c r="F27" s="157"/>
    </row>
    <row r="28" spans="1:12" ht="15">
      <c r="A28" s="153" t="s">
        <v>191</v>
      </c>
      <c r="B28" s="479" t="s">
        <v>158</v>
      </c>
      <c r="C28" s="154">
        <f>IF(B28="ja",0,1)</f>
        <v>0</v>
      </c>
      <c r="D28" s="154">
        <f>IF(B28="ja",1,0)</f>
        <v>1</v>
      </c>
      <c r="E28" s="155">
        <v>0</v>
      </c>
      <c r="F28" s="157">
        <f>IF(B28="ja",3*(B27+1),1)</f>
        <v>3</v>
      </c>
    </row>
    <row r="29" spans="1:12" ht="15">
      <c r="A29" s="153" t="s">
        <v>192</v>
      </c>
      <c r="B29" s="479">
        <f>SUM(F10:F34)</f>
        <v>7</v>
      </c>
      <c r="C29" s="154">
        <v>0</v>
      </c>
      <c r="D29" s="154">
        <v>0</v>
      </c>
      <c r="E29" s="155">
        <v>0</v>
      </c>
      <c r="F29" s="157"/>
    </row>
    <row r="30" spans="1:12" ht="15">
      <c r="A30" s="175" t="s">
        <v>212</v>
      </c>
      <c r="B30" s="479">
        <v>130</v>
      </c>
      <c r="C30" s="154">
        <f>IF(B30&gt;(F28+F26+B29*Menge),1,0)</f>
        <v>1</v>
      </c>
      <c r="D30" s="154">
        <f>IF(B30&lt;((F28+F26+B29*Menge)*1.2),1,0)</f>
        <v>0</v>
      </c>
      <c r="E30" s="155">
        <f>IF(B30&lt;(F28+F26+B29*Menge),1,0)</f>
        <v>0</v>
      </c>
      <c r="F30" s="157"/>
    </row>
    <row r="31" spans="1:12" ht="15">
      <c r="A31" s="153" t="s">
        <v>193</v>
      </c>
      <c r="B31" s="479" t="s">
        <v>158</v>
      </c>
      <c r="C31" s="154">
        <f>IF(B31="ja",0,1)</f>
        <v>0</v>
      </c>
      <c r="D31" s="154">
        <f>IF(B31="ja",1,0)</f>
        <v>1</v>
      </c>
      <c r="E31" s="155">
        <v>0</v>
      </c>
      <c r="F31" s="157"/>
    </row>
    <row r="32" spans="1:12" ht="15">
      <c r="A32" s="153" t="s">
        <v>194</v>
      </c>
      <c r="B32" s="479" t="s">
        <v>158</v>
      </c>
      <c r="C32" s="154">
        <f>IF(B32="ja",0,1)</f>
        <v>0</v>
      </c>
      <c r="D32" s="154">
        <f>IF(B32="ja",1,0)</f>
        <v>1</v>
      </c>
      <c r="E32" s="155">
        <v>0</v>
      </c>
      <c r="F32" s="157"/>
    </row>
    <row r="33" spans="1:6" ht="15">
      <c r="A33" s="153" t="s">
        <v>195</v>
      </c>
      <c r="B33" s="479" t="s">
        <v>162</v>
      </c>
      <c r="C33" s="154">
        <f>IF(B33="ja",1,0)</f>
        <v>0</v>
      </c>
      <c r="D33" s="154">
        <f>IF(B33="ja",0,1)</f>
        <v>1</v>
      </c>
      <c r="E33" s="155">
        <v>0</v>
      </c>
      <c r="F33" s="157"/>
    </row>
    <row r="34" spans="1:6" ht="15">
      <c r="A34" s="153" t="s">
        <v>196</v>
      </c>
      <c r="B34" s="479" t="s">
        <v>162</v>
      </c>
      <c r="C34" s="154">
        <f>IF(B34="ja",1,0)</f>
        <v>0</v>
      </c>
      <c r="D34" s="154">
        <f>IF(B34="ja",0,1)</f>
        <v>1</v>
      </c>
      <c r="E34" s="155">
        <v>0</v>
      </c>
      <c r="F34" s="157"/>
    </row>
    <row r="35" spans="1:6" ht="13.5" thickBot="1">
      <c r="A35" s="159"/>
      <c r="B35" s="159"/>
      <c r="C35" s="338"/>
      <c r="D35" s="338"/>
      <c r="E35" s="338"/>
    </row>
    <row r="36" spans="1:6" ht="21.75" thickBot="1">
      <c r="A36" s="160" t="s">
        <v>197</v>
      </c>
      <c r="B36" s="160"/>
      <c r="C36" s="508" t="str">
        <f>VLOOKUP(J20,J14:K19,2)</f>
        <v>Normal</v>
      </c>
      <c r="D36" s="508"/>
      <c r="E36" s="508"/>
      <c r="F36" s="508"/>
    </row>
    <row r="37" spans="1:6" ht="21.75" thickBot="1">
      <c r="A37" s="160" t="s">
        <v>198</v>
      </c>
      <c r="B37" s="160"/>
      <c r="C37" s="509" t="str">
        <f>IF(AND(B10="ja",B11&lt;40000,J20&gt;90),#REF!,IF(AND(B10="ja",B11&lt;89025),K9,IF(AND(B10="ja",B11&gt;89025),K10,IF(AND(B10="nein",B11&lt;89025),K11,IF(AND(B10="nein",B11&gt;89025),K12,0)))))</f>
        <v>21 Tage Netto</v>
      </c>
      <c r="D37" s="509"/>
      <c r="E37" s="509"/>
      <c r="F37" s="509"/>
    </row>
    <row r="38" spans="1:6" ht="13.5" thickBot="1"/>
    <row r="39" spans="1:6" ht="14.25">
      <c r="A39" s="500" t="s">
        <v>98</v>
      </c>
      <c r="B39" s="501"/>
      <c r="C39" s="337" t="s">
        <v>100</v>
      </c>
      <c r="D39" s="310"/>
      <c r="E39" s="310"/>
      <c r="F39" s="311"/>
    </row>
    <row r="40" spans="1:6" ht="15" thickBot="1">
      <c r="A40" s="502" t="s">
        <v>327</v>
      </c>
      <c r="B40" s="503"/>
      <c r="C40" s="322" t="s">
        <v>101</v>
      </c>
      <c r="D40" s="323"/>
      <c r="E40" s="323"/>
      <c r="F40" s="324"/>
    </row>
    <row r="41" spans="1:6" ht="42.6" customHeight="1"/>
  </sheetData>
  <mergeCells count="8">
    <mergeCell ref="A40:B40"/>
    <mergeCell ref="C36:F36"/>
    <mergeCell ref="C37:F37"/>
    <mergeCell ref="B3:F3"/>
    <mergeCell ref="B4:F4"/>
    <mergeCell ref="B5:F5"/>
    <mergeCell ref="B6:F6"/>
    <mergeCell ref="A39:B39"/>
  </mergeCells>
  <conditionalFormatting sqref="C10:C14 C26:C29 C16:C24 C31:C32">
    <cfRule type="cellIs" dxfId="16" priority="19" operator="equal">
      <formula>1</formula>
    </cfRule>
  </conditionalFormatting>
  <conditionalFormatting sqref="D10:D14 D26:D29 D16:D24 D31:D32">
    <cfRule type="cellIs" dxfId="15" priority="18" operator="equal">
      <formula>1</formula>
    </cfRule>
  </conditionalFormatting>
  <conditionalFormatting sqref="E10:E24 E26:E29 E31:E32">
    <cfRule type="cellIs" dxfId="14" priority="17" operator="equal">
      <formula>1</formula>
    </cfRule>
  </conditionalFormatting>
  <conditionalFormatting sqref="C33">
    <cfRule type="cellIs" dxfId="13" priority="16" operator="equal">
      <formula>1</formula>
    </cfRule>
  </conditionalFormatting>
  <conditionalFormatting sqref="D33">
    <cfRule type="cellIs" dxfId="12" priority="15" operator="equal">
      <formula>1</formula>
    </cfRule>
  </conditionalFormatting>
  <conditionalFormatting sqref="E33">
    <cfRule type="cellIs" dxfId="11" priority="14" operator="equal">
      <formula>1</formula>
    </cfRule>
  </conditionalFormatting>
  <conditionalFormatting sqref="C25">
    <cfRule type="cellIs" dxfId="10" priority="13" operator="equal">
      <formula>1</formula>
    </cfRule>
  </conditionalFormatting>
  <conditionalFormatting sqref="D25">
    <cfRule type="cellIs" dxfId="9" priority="12" operator="equal">
      <formula>1</formula>
    </cfRule>
  </conditionalFormatting>
  <conditionalFormatting sqref="E25">
    <cfRule type="cellIs" dxfId="8" priority="11" operator="equal">
      <formula>1</formula>
    </cfRule>
  </conditionalFormatting>
  <conditionalFormatting sqref="C34">
    <cfRule type="cellIs" dxfId="7" priority="8" operator="equal">
      <formula>1</formula>
    </cfRule>
  </conditionalFormatting>
  <conditionalFormatting sqref="D34">
    <cfRule type="cellIs" dxfId="6" priority="7" operator="equal">
      <formula>1</formula>
    </cfRule>
  </conditionalFormatting>
  <conditionalFormatting sqref="C15">
    <cfRule type="cellIs" dxfId="5" priority="10" operator="equal">
      <formula>1</formula>
    </cfRule>
  </conditionalFormatting>
  <conditionalFormatting sqref="D15">
    <cfRule type="cellIs" dxfId="4" priority="9" operator="equal">
      <formula>1</formula>
    </cfRule>
  </conditionalFormatting>
  <conditionalFormatting sqref="E34">
    <cfRule type="cellIs" dxfId="3" priority="6" operator="equal">
      <formula>1</formula>
    </cfRule>
  </conditionalFormatting>
  <conditionalFormatting sqref="C30">
    <cfRule type="cellIs" dxfId="2" priority="3" operator="equal">
      <formula>1</formula>
    </cfRule>
  </conditionalFormatting>
  <conditionalFormatting sqref="D30">
    <cfRule type="cellIs" dxfId="1" priority="2" operator="equal">
      <formula>1</formula>
    </cfRule>
  </conditionalFormatting>
  <conditionalFormatting sqref="E30">
    <cfRule type="cellIs" dxfId="0" priority="1" operator="equal">
      <formula>1</formula>
    </cfRule>
  </conditionalFormatting>
  <dataValidations count="2">
    <dataValidation type="list" allowBlank="1" showInputMessage="1" showErrorMessage="1" sqref="B14">
      <formula1>$I$9:$I$12</formula1>
    </dataValidation>
    <dataValidation type="list" allowBlank="1" showInputMessage="1" showErrorMessage="1" sqref="B10 B31:B34 B13 B15:B26 B28">
      <formula1>$H$9:$H$10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G88"/>
  <sheetViews>
    <sheetView view="pageBreakPreview" topLeftCell="A46" zoomScaleNormal="100" zoomScaleSheetLayoutView="100" workbookViewId="0">
      <selection activeCell="AA11" sqref="AA11"/>
    </sheetView>
  </sheetViews>
  <sheetFormatPr baseColWidth="10" defaultRowHeight="14.25"/>
  <cols>
    <col min="1" max="1" width="3.7109375" style="45" customWidth="1"/>
    <col min="2" max="5" width="22.7109375" style="45" customWidth="1"/>
    <col min="6" max="6" width="11.42578125" style="45"/>
    <col min="7" max="25" width="11.42578125" style="173" hidden="1" customWidth="1"/>
    <col min="26" max="26" width="11.42578125" style="45" hidden="1" customWidth="1"/>
    <col min="27" max="27" width="11.42578125" style="45" customWidth="1"/>
    <col min="28" max="16384" width="11.42578125" style="45"/>
  </cols>
  <sheetData>
    <row r="1" spans="1:33" ht="39" customHeight="1">
      <c r="E1" s="515" t="s">
        <v>68</v>
      </c>
      <c r="G1" s="161" t="s">
        <v>84</v>
      </c>
      <c r="H1" s="162" t="s">
        <v>199</v>
      </c>
      <c r="I1" s="163" t="s">
        <v>200</v>
      </c>
      <c r="J1" s="163" t="s">
        <v>201</v>
      </c>
      <c r="K1" s="161" t="s">
        <v>93</v>
      </c>
      <c r="L1" s="164" t="s">
        <v>202</v>
      </c>
      <c r="M1" s="164" t="s">
        <v>203</v>
      </c>
      <c r="N1" s="164" t="s">
        <v>94</v>
      </c>
      <c r="O1" s="164" t="s">
        <v>204</v>
      </c>
      <c r="P1" s="164" t="s">
        <v>95</v>
      </c>
      <c r="Q1" s="165" t="s">
        <v>205</v>
      </c>
      <c r="R1" s="164" t="s">
        <v>206</v>
      </c>
      <c r="S1" s="164" t="s">
        <v>207</v>
      </c>
      <c r="T1" s="164" t="s">
        <v>91</v>
      </c>
      <c r="U1" s="164" t="s">
        <v>208</v>
      </c>
      <c r="V1" s="166" t="s">
        <v>209</v>
      </c>
      <c r="W1" s="166" t="s">
        <v>210</v>
      </c>
      <c r="X1" s="167" t="s">
        <v>81</v>
      </c>
      <c r="Y1" s="167" t="s">
        <v>65</v>
      </c>
    </row>
    <row r="2" spans="1:33" ht="12.75" customHeight="1">
      <c r="E2" s="515"/>
      <c r="G2" s="168">
        <v>41640</v>
      </c>
      <c r="H2" s="169" t="s">
        <v>356</v>
      </c>
      <c r="I2" s="170" t="s">
        <v>357</v>
      </c>
      <c r="J2" s="170" t="s">
        <v>358</v>
      </c>
      <c r="K2" s="168">
        <v>41640</v>
      </c>
      <c r="L2" s="168">
        <v>41640</v>
      </c>
      <c r="M2" s="168">
        <v>41640</v>
      </c>
      <c r="N2" s="168">
        <v>41640</v>
      </c>
      <c r="O2" s="168">
        <v>41640</v>
      </c>
      <c r="P2" s="168">
        <v>41640</v>
      </c>
      <c r="Q2" s="171" t="s">
        <v>359</v>
      </c>
      <c r="R2" s="168">
        <v>41640</v>
      </c>
      <c r="S2" s="168" t="s">
        <v>355</v>
      </c>
      <c r="T2" s="168"/>
      <c r="U2" s="168"/>
      <c r="V2" s="168" t="s">
        <v>360</v>
      </c>
      <c r="W2" s="168" t="s">
        <v>361</v>
      </c>
      <c r="X2" s="172"/>
      <c r="Y2" s="170"/>
    </row>
    <row r="3" spans="1:33" s="264" customFormat="1" ht="24.95" customHeight="1">
      <c r="A3" s="519" t="s">
        <v>97</v>
      </c>
      <c r="B3" s="519"/>
      <c r="C3" s="258"/>
      <c r="D3" s="259" t="s">
        <v>214</v>
      </c>
      <c r="E3" s="312">
        <f>Ablauf!AC3</f>
        <v>3</v>
      </c>
      <c r="F3" s="257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257"/>
      <c r="AA3" s="257"/>
      <c r="AB3" s="257"/>
      <c r="AC3" s="257"/>
      <c r="AD3" s="257"/>
      <c r="AE3" s="257"/>
      <c r="AF3" s="257"/>
      <c r="AG3" s="257"/>
    </row>
    <row r="4" spans="1:33" s="264" customFormat="1" ht="24.95" customHeight="1">
      <c r="A4" s="520" t="s">
        <v>78</v>
      </c>
      <c r="B4" s="520"/>
      <c r="C4" s="516" t="str">
        <f>J2</f>
        <v>Testgegenstand</v>
      </c>
      <c r="D4" s="516"/>
      <c r="E4" s="516"/>
      <c r="F4" s="257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257"/>
      <c r="AA4" s="257"/>
      <c r="AB4" s="257"/>
      <c r="AC4" s="257"/>
      <c r="AD4" s="257"/>
      <c r="AE4" s="257"/>
      <c r="AF4" s="257"/>
      <c r="AG4" s="257"/>
    </row>
    <row r="5" spans="1:33" s="264" customFormat="1" ht="8.25" customHeight="1">
      <c r="A5" s="514" t="s">
        <v>93</v>
      </c>
      <c r="B5" s="514"/>
      <c r="C5" s="43" t="s">
        <v>84</v>
      </c>
      <c r="D5" s="43" t="s">
        <v>81</v>
      </c>
      <c r="E5" s="43" t="s">
        <v>96</v>
      </c>
      <c r="F5" s="257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257"/>
      <c r="AA5" s="257"/>
      <c r="AB5" s="257"/>
      <c r="AC5" s="257"/>
      <c r="AD5" s="257"/>
      <c r="AE5" s="257"/>
      <c r="AF5" s="257"/>
      <c r="AG5" s="257"/>
    </row>
    <row r="6" spans="1:33" s="264" customFormat="1" ht="18" customHeight="1">
      <c r="A6" s="514"/>
      <c r="B6" s="514"/>
      <c r="C6" s="329">
        <f>K2</f>
        <v>41640</v>
      </c>
      <c r="D6" s="330" t="s">
        <v>153</v>
      </c>
      <c r="E6" s="330"/>
      <c r="F6" s="257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257"/>
      <c r="AA6" s="257"/>
      <c r="AB6" s="257"/>
      <c r="AC6" s="257"/>
      <c r="AD6" s="257"/>
      <c r="AE6" s="257"/>
      <c r="AF6" s="257"/>
      <c r="AG6" s="257"/>
    </row>
    <row r="7" spans="1:33" s="264" customFormat="1" ht="24.75" customHeight="1">
      <c r="A7" s="514" t="s">
        <v>94</v>
      </c>
      <c r="B7" s="514"/>
      <c r="C7" s="313">
        <f>N2</f>
        <v>41640</v>
      </c>
      <c r="D7" s="314" t="s">
        <v>153</v>
      </c>
      <c r="E7" s="315"/>
      <c r="F7" s="257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257"/>
      <c r="AA7" s="257"/>
      <c r="AB7" s="257"/>
      <c r="AC7" s="257"/>
      <c r="AD7" s="257"/>
      <c r="AE7" s="257"/>
      <c r="AF7" s="257"/>
      <c r="AG7" s="257"/>
    </row>
    <row r="8" spans="1:33" s="264" customFormat="1" ht="24.75" customHeight="1">
      <c r="A8" s="514" t="s">
        <v>95</v>
      </c>
      <c r="B8" s="514"/>
      <c r="C8" s="313">
        <f>P2</f>
        <v>41640</v>
      </c>
      <c r="D8" s="314"/>
      <c r="E8" s="315">
        <f>R2</f>
        <v>41640</v>
      </c>
      <c r="F8" s="257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257"/>
      <c r="AA8" s="257"/>
      <c r="AB8" s="257"/>
      <c r="AC8" s="257"/>
      <c r="AD8" s="257"/>
      <c r="AE8" s="257"/>
      <c r="AF8" s="257"/>
      <c r="AG8" s="257"/>
    </row>
    <row r="9" spans="1:33" s="264" customFormat="1" ht="24.75" customHeight="1">
      <c r="A9" s="514" t="s">
        <v>305</v>
      </c>
      <c r="B9" s="514"/>
      <c r="C9" s="316" t="str">
        <f>UPPER(C10&amp;LEFT(C13,3)&amp;LEFT(C4,3))</f>
        <v>214000TESTES</v>
      </c>
      <c r="D9" s="518" t="str">
        <f>code128(C9)</f>
        <v>Ò5H ÍTESTES:Ó</v>
      </c>
      <c r="E9" s="518"/>
      <c r="F9" s="257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257"/>
      <c r="AA9" s="257"/>
      <c r="AB9" s="257"/>
      <c r="AC9" s="257"/>
      <c r="AD9" s="257"/>
      <c r="AE9" s="257"/>
      <c r="AF9" s="257"/>
      <c r="AG9" s="257"/>
    </row>
    <row r="10" spans="1:33" s="264" customFormat="1" ht="24.75" customHeight="1">
      <c r="A10" s="514" t="s">
        <v>306</v>
      </c>
      <c r="B10" s="514"/>
      <c r="C10" s="317" t="str">
        <f>Q2</f>
        <v>214000</v>
      </c>
      <c r="D10" s="126" t="s">
        <v>219</v>
      </c>
      <c r="E10" s="340">
        <f>Menge</f>
        <v>1</v>
      </c>
      <c r="F10" s="257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8"/>
      <c r="V10" s="308"/>
      <c r="W10" s="308"/>
      <c r="X10" s="308"/>
      <c r="Y10" s="308"/>
      <c r="Z10" s="257"/>
      <c r="AA10" s="257"/>
      <c r="AB10" s="257"/>
      <c r="AC10" s="257"/>
      <c r="AD10" s="257"/>
      <c r="AE10" s="257"/>
      <c r="AF10" s="257"/>
      <c r="AG10" s="257"/>
    </row>
    <row r="11" spans="1:33" s="264" customFormat="1" ht="24.75" customHeight="1">
      <c r="A11" s="514" t="s">
        <v>79</v>
      </c>
      <c r="B11" s="514"/>
      <c r="C11" s="517" t="s">
        <v>211</v>
      </c>
      <c r="D11" s="517"/>
      <c r="E11" s="517"/>
      <c r="F11" s="257"/>
      <c r="G11" s="308"/>
      <c r="H11" s="308"/>
      <c r="I11" s="308"/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257"/>
      <c r="AA11" s="257"/>
      <c r="AB11" s="257"/>
      <c r="AC11" s="257"/>
      <c r="AD11" s="257"/>
      <c r="AE11" s="257"/>
      <c r="AF11" s="257"/>
      <c r="AG11" s="257"/>
    </row>
    <row r="12" spans="1:33" s="264" customFormat="1" ht="24.75" customHeight="1">
      <c r="A12" s="514" t="s">
        <v>80</v>
      </c>
      <c r="B12" s="514"/>
      <c r="C12" s="513" t="e">
        <f ca="1">SUBSTITUTE(LEFT(CELL("Dateiname",#REF!),-1+FIND("]",CELL("Dateiname",#REF!))),"[","")</f>
        <v>#REF!</v>
      </c>
      <c r="D12" s="513"/>
      <c r="E12" s="513"/>
      <c r="F12" s="257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R12" s="308"/>
      <c r="S12" s="308"/>
      <c r="T12" s="308"/>
      <c r="U12" s="308"/>
      <c r="V12" s="308"/>
      <c r="W12" s="308"/>
      <c r="X12" s="308"/>
      <c r="Y12" s="308"/>
      <c r="Z12" s="257"/>
      <c r="AA12" s="257"/>
      <c r="AB12" s="257"/>
      <c r="AC12" s="257"/>
      <c r="AD12" s="257"/>
      <c r="AE12" s="257"/>
      <c r="AF12" s="257"/>
      <c r="AG12" s="257"/>
    </row>
    <row r="13" spans="1:33" s="264" customFormat="1" ht="24.75" customHeight="1">
      <c r="A13" s="514" t="s">
        <v>90</v>
      </c>
      <c r="B13" s="514"/>
      <c r="C13" s="512" t="str">
        <f>I2</f>
        <v>Testkunde</v>
      </c>
      <c r="D13" s="512"/>
      <c r="E13" s="512"/>
      <c r="F13" s="257"/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8"/>
      <c r="R13" s="308"/>
      <c r="S13" s="308"/>
      <c r="T13" s="308"/>
      <c r="U13" s="308"/>
      <c r="V13" s="308"/>
      <c r="W13" s="308"/>
      <c r="X13" s="308"/>
      <c r="Y13" s="308"/>
      <c r="Z13" s="257"/>
      <c r="AA13" s="257"/>
      <c r="AB13" s="257"/>
      <c r="AC13" s="257"/>
      <c r="AD13" s="257"/>
      <c r="AE13" s="257"/>
      <c r="AF13" s="257"/>
      <c r="AG13" s="257"/>
    </row>
    <row r="14" spans="1:33" s="264" customFormat="1" ht="24.75" customHeight="1">
      <c r="A14" s="514" t="s">
        <v>89</v>
      </c>
      <c r="B14" s="514"/>
      <c r="C14" s="511" t="str">
        <f>V2</f>
        <v>Herr Testmann</v>
      </c>
      <c r="D14" s="512"/>
      <c r="E14" s="512"/>
      <c r="F14" s="257"/>
      <c r="G14" s="308"/>
      <c r="H14" s="308"/>
      <c r="I14" s="308"/>
      <c r="J14" s="308"/>
      <c r="K14" s="308"/>
      <c r="L14" s="308"/>
      <c r="M14" s="308"/>
      <c r="N14" s="308"/>
      <c r="O14" s="308"/>
      <c r="P14" s="308"/>
      <c r="Q14" s="308"/>
      <c r="R14" s="308"/>
      <c r="S14" s="308"/>
      <c r="T14" s="308"/>
      <c r="U14" s="308"/>
      <c r="V14" s="308"/>
      <c r="W14" s="308"/>
      <c r="X14" s="308"/>
      <c r="Y14" s="308"/>
      <c r="Z14" s="257"/>
      <c r="AA14" s="257"/>
      <c r="AB14" s="257"/>
      <c r="AC14" s="257"/>
      <c r="AD14" s="257"/>
      <c r="AE14" s="257"/>
      <c r="AF14" s="257"/>
      <c r="AG14" s="257"/>
    </row>
    <row r="15" spans="1:33" s="264" customFormat="1" ht="24.75" customHeight="1">
      <c r="A15" s="514" t="s">
        <v>103</v>
      </c>
      <c r="B15" s="514"/>
      <c r="C15" s="318" t="str">
        <f>W2</f>
        <v>0351 26 31 31 21</v>
      </c>
      <c r="D15" s="314"/>
      <c r="E15" s="314"/>
      <c r="F15" s="257"/>
      <c r="G15" s="308"/>
      <c r="H15" s="308"/>
      <c r="I15" s="308"/>
      <c r="J15" s="308"/>
      <c r="K15" s="308"/>
      <c r="L15" s="308"/>
      <c r="M15" s="308"/>
      <c r="N15" s="308"/>
      <c r="O15" s="308"/>
      <c r="P15" s="308"/>
      <c r="Q15" s="308"/>
      <c r="R15" s="308"/>
      <c r="S15" s="308"/>
      <c r="T15" s="308"/>
      <c r="U15" s="308"/>
      <c r="V15" s="308"/>
      <c r="W15" s="308"/>
      <c r="X15" s="308"/>
      <c r="Y15" s="308"/>
      <c r="Z15" s="257"/>
      <c r="AA15" s="257"/>
      <c r="AB15" s="257"/>
      <c r="AC15" s="257"/>
      <c r="AD15" s="257"/>
      <c r="AE15" s="257"/>
      <c r="AF15" s="257"/>
      <c r="AG15" s="257"/>
    </row>
    <row r="16" spans="1:33" s="264" customFormat="1" ht="6" customHeight="1">
      <c r="B16" s="257"/>
      <c r="C16" s="268"/>
      <c r="D16" s="257"/>
      <c r="E16" s="257"/>
      <c r="F16" s="257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308"/>
      <c r="V16" s="308"/>
      <c r="W16" s="308"/>
      <c r="X16" s="308"/>
      <c r="Y16" s="308"/>
      <c r="Z16" s="257"/>
      <c r="AA16" s="257"/>
      <c r="AB16" s="257"/>
      <c r="AC16" s="257"/>
      <c r="AD16" s="257"/>
      <c r="AE16" s="257"/>
      <c r="AF16" s="257"/>
      <c r="AG16" s="257"/>
    </row>
    <row r="17" spans="1:33" s="264" customFormat="1" ht="19.5" customHeight="1">
      <c r="A17" s="258" t="s">
        <v>92</v>
      </c>
      <c r="B17" s="258"/>
      <c r="C17" s="258"/>
      <c r="D17" s="259" t="s">
        <v>87</v>
      </c>
      <c r="E17" s="259" t="s">
        <v>85</v>
      </c>
      <c r="F17" s="257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308"/>
      <c r="V17" s="308"/>
      <c r="W17" s="308"/>
      <c r="X17" s="308"/>
      <c r="Y17" s="308"/>
      <c r="Z17" s="257"/>
      <c r="AA17" s="257"/>
      <c r="AB17" s="257"/>
      <c r="AC17" s="257"/>
      <c r="AD17" s="257"/>
      <c r="AE17" s="257"/>
      <c r="AF17" s="257"/>
      <c r="AG17" s="257"/>
    </row>
    <row r="18" spans="1:33" s="264" customFormat="1" ht="18" customHeight="1">
      <c r="A18" s="523"/>
      <c r="B18" s="523"/>
      <c r="C18" s="523"/>
      <c r="D18" s="459"/>
      <c r="E18" s="275"/>
      <c r="F18" s="257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257"/>
      <c r="AA18" s="257"/>
      <c r="AB18" s="257"/>
      <c r="AC18" s="257"/>
      <c r="AD18" s="257"/>
      <c r="AE18" s="257"/>
      <c r="AF18" s="257"/>
      <c r="AG18" s="257"/>
    </row>
    <row r="19" spans="1:33" s="264" customFormat="1" ht="18" customHeight="1">
      <c r="A19" s="522"/>
      <c r="B19" s="522"/>
      <c r="C19" s="522"/>
      <c r="D19" s="460"/>
      <c r="E19" s="319"/>
      <c r="F19" s="257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308"/>
      <c r="V19" s="308"/>
      <c r="W19" s="308"/>
      <c r="X19" s="308"/>
      <c r="Y19" s="308"/>
      <c r="Z19" s="257"/>
      <c r="AA19" s="257"/>
      <c r="AB19" s="257"/>
      <c r="AC19" s="257"/>
      <c r="AD19" s="257"/>
      <c r="AE19" s="257"/>
      <c r="AF19" s="257"/>
      <c r="AG19" s="257"/>
    </row>
    <row r="20" spans="1:33" s="264" customFormat="1" ht="18" customHeight="1">
      <c r="A20" s="522"/>
      <c r="B20" s="522"/>
      <c r="C20" s="522"/>
      <c r="D20" s="460"/>
      <c r="E20" s="319"/>
      <c r="F20" s="257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308"/>
      <c r="V20" s="308"/>
      <c r="W20" s="308"/>
      <c r="X20" s="308"/>
      <c r="Y20" s="308"/>
      <c r="Z20" s="257"/>
      <c r="AA20" s="257"/>
      <c r="AB20" s="257"/>
      <c r="AC20" s="257"/>
      <c r="AD20" s="257"/>
      <c r="AE20" s="257"/>
      <c r="AF20" s="257"/>
      <c r="AG20" s="257"/>
    </row>
    <row r="21" spans="1:33" s="264" customFormat="1" ht="18" customHeight="1">
      <c r="A21" s="522"/>
      <c r="B21" s="522"/>
      <c r="C21" s="522"/>
      <c r="D21" s="460"/>
      <c r="E21" s="319"/>
      <c r="F21" s="257"/>
      <c r="G21" s="308"/>
      <c r="H21" s="308"/>
      <c r="I21" s="308"/>
      <c r="J21" s="308"/>
      <c r="K21" s="308"/>
      <c r="L21" s="308"/>
      <c r="M21" s="308"/>
      <c r="N21" s="308"/>
      <c r="O21" s="308"/>
      <c r="P21" s="308"/>
      <c r="Q21" s="308"/>
      <c r="R21" s="308"/>
      <c r="S21" s="308"/>
      <c r="T21" s="308"/>
      <c r="U21" s="308"/>
      <c r="V21" s="308"/>
      <c r="W21" s="308"/>
      <c r="X21" s="308"/>
      <c r="Y21" s="308"/>
      <c r="Z21" s="257"/>
      <c r="AA21" s="257"/>
      <c r="AB21" s="257"/>
      <c r="AC21" s="257"/>
      <c r="AD21" s="257"/>
      <c r="AE21" s="257"/>
      <c r="AF21" s="257"/>
      <c r="AG21" s="257"/>
    </row>
    <row r="22" spans="1:33" s="264" customFormat="1" ht="6" customHeight="1">
      <c r="B22" s="257"/>
      <c r="C22" s="257"/>
      <c r="D22" s="257"/>
      <c r="E22" s="257"/>
      <c r="F22" s="257"/>
      <c r="G22" s="308"/>
      <c r="H22" s="308"/>
      <c r="I22" s="308"/>
      <c r="J22" s="308"/>
      <c r="K22" s="308"/>
      <c r="L22" s="308"/>
      <c r="M22" s="308"/>
      <c r="N22" s="308"/>
      <c r="O22" s="308"/>
      <c r="P22" s="308"/>
      <c r="Q22" s="308"/>
      <c r="R22" s="308"/>
      <c r="S22" s="308"/>
      <c r="T22" s="308"/>
      <c r="U22" s="308"/>
      <c r="V22" s="308"/>
      <c r="W22" s="308"/>
      <c r="X22" s="308"/>
      <c r="Y22" s="308"/>
      <c r="Z22" s="257"/>
      <c r="AA22" s="257"/>
      <c r="AB22" s="257"/>
      <c r="AC22" s="257"/>
      <c r="AD22" s="257"/>
      <c r="AE22" s="257"/>
      <c r="AF22" s="257"/>
      <c r="AG22" s="257"/>
    </row>
    <row r="23" spans="1:33" s="264" customFormat="1" ht="18" customHeight="1">
      <c r="A23" s="521" t="s">
        <v>88</v>
      </c>
      <c r="B23" s="521"/>
      <c r="C23" s="521"/>
      <c r="D23" s="309" t="s">
        <v>83</v>
      </c>
      <c r="E23" s="309" t="s">
        <v>84</v>
      </c>
      <c r="F23" s="257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257"/>
      <c r="AA23" s="257"/>
      <c r="AB23" s="257"/>
      <c r="AC23" s="257"/>
      <c r="AD23" s="257"/>
      <c r="AE23" s="257"/>
      <c r="AF23" s="257"/>
      <c r="AG23" s="257"/>
    </row>
    <row r="24" spans="1:33" s="264" customFormat="1" ht="18" customHeight="1">
      <c r="A24" s="522"/>
      <c r="B24" s="522"/>
      <c r="C24" s="522"/>
      <c r="D24" s="460"/>
      <c r="E24" s="319"/>
      <c r="F24" s="257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257"/>
      <c r="AA24" s="257"/>
      <c r="AB24" s="257"/>
    </row>
    <row r="25" spans="1:33" s="264" customFormat="1" ht="18" customHeight="1">
      <c r="A25" s="522"/>
      <c r="B25" s="522"/>
      <c r="C25" s="522"/>
      <c r="D25" s="460"/>
      <c r="E25" s="319"/>
      <c r="F25" s="257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257"/>
      <c r="AA25" s="257"/>
      <c r="AB25" s="257"/>
    </row>
    <row r="26" spans="1:33" s="264" customFormat="1" ht="18" customHeight="1">
      <c r="A26" s="522"/>
      <c r="B26" s="522"/>
      <c r="C26" s="522"/>
      <c r="D26" s="460"/>
      <c r="E26" s="319"/>
      <c r="F26" s="257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257"/>
      <c r="AA26" s="257"/>
      <c r="AB26" s="257"/>
    </row>
    <row r="27" spans="1:33">
      <c r="A27" s="461"/>
      <c r="B27" s="461"/>
      <c r="C27" s="461"/>
      <c r="D27" s="461"/>
      <c r="E27" s="462"/>
    </row>
    <row r="28" spans="1:33" s="264" customFormat="1" ht="6" customHeight="1">
      <c r="B28" s="257"/>
      <c r="C28" s="257"/>
      <c r="D28" s="257"/>
      <c r="E28" s="257"/>
      <c r="F28" s="257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257"/>
      <c r="AA28" s="257"/>
      <c r="AB28" s="257"/>
      <c r="AC28" s="257"/>
      <c r="AD28" s="257"/>
      <c r="AE28" s="257"/>
      <c r="AF28" s="257"/>
      <c r="AG28" s="257"/>
    </row>
    <row r="29" spans="1:33" ht="15">
      <c r="A29" s="148" t="s">
        <v>323</v>
      </c>
      <c r="B29" s="149"/>
      <c r="C29" s="145"/>
      <c r="D29" s="149"/>
      <c r="E29" s="148"/>
      <c r="F29" s="173"/>
      <c r="W29" s="45"/>
      <c r="X29" s="45"/>
      <c r="Y29" s="45"/>
    </row>
    <row r="30" spans="1:33" ht="60" customHeight="1">
      <c r="A30" s="524" t="s">
        <v>324</v>
      </c>
      <c r="B30" s="524"/>
      <c r="C30" s="524"/>
      <c r="D30" s="524"/>
      <c r="E30" s="524"/>
      <c r="F30" s="173"/>
      <c r="W30" s="45"/>
      <c r="X30" s="45"/>
      <c r="Y30" s="45"/>
    </row>
    <row r="31" spans="1:33">
      <c r="F31" s="173"/>
      <c r="W31" s="45"/>
      <c r="X31" s="45"/>
      <c r="Y31" s="45"/>
    </row>
    <row r="32" spans="1:33" ht="15">
      <c r="A32" s="148" t="s">
        <v>138</v>
      </c>
      <c r="B32" s="149"/>
      <c r="C32" s="145"/>
      <c r="D32" s="149"/>
      <c r="E32" s="148"/>
      <c r="F32" s="173"/>
      <c r="W32" s="45"/>
      <c r="X32" s="45"/>
      <c r="Y32" s="45"/>
    </row>
    <row r="33" spans="1:25" ht="60" customHeight="1">
      <c r="A33" s="525" t="s">
        <v>322</v>
      </c>
      <c r="B33" s="525"/>
      <c r="C33" s="525"/>
      <c r="D33" s="525"/>
      <c r="E33" s="525"/>
      <c r="F33" s="173"/>
      <c r="W33" s="45"/>
      <c r="X33" s="45"/>
      <c r="Y33" s="45"/>
    </row>
    <row r="34" spans="1:25" ht="24" customHeight="1" thickBot="1">
      <c r="A34" s="326"/>
      <c r="B34" s="326"/>
      <c r="C34" s="326"/>
      <c r="D34" s="326"/>
      <c r="E34" s="326"/>
      <c r="F34" s="173"/>
      <c r="W34" s="45"/>
      <c r="X34" s="45"/>
      <c r="Y34" s="45"/>
    </row>
    <row r="35" spans="1:25" s="320" customFormat="1">
      <c r="A35" s="500" t="s">
        <v>98</v>
      </c>
      <c r="B35" s="501"/>
      <c r="C35" s="337" t="s">
        <v>100</v>
      </c>
      <c r="D35" s="310"/>
      <c r="E35" s="311"/>
      <c r="G35" s="321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</row>
    <row r="36" spans="1:25" s="320" customFormat="1" ht="15" thickBot="1">
      <c r="A36" s="502" t="s">
        <v>99</v>
      </c>
      <c r="B36" s="503"/>
      <c r="C36" s="322" t="s">
        <v>101</v>
      </c>
      <c r="D36" s="323"/>
      <c r="E36" s="324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</row>
    <row r="37" spans="1:25" s="320" customFormat="1" ht="4.5" customHeight="1">
      <c r="A37" s="327"/>
      <c r="B37" s="327"/>
      <c r="C37" s="327"/>
      <c r="D37" s="328"/>
      <c r="E37" s="328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</row>
    <row r="38" spans="1:25" s="320" customFormat="1" ht="24.75" customHeight="1">
      <c r="A38" s="327" t="str">
        <f>C9</f>
        <v>214000TESTES</v>
      </c>
      <c r="B38" s="327"/>
      <c r="C38" s="327"/>
      <c r="D38" s="526" t="str">
        <f>D9</f>
        <v>Ò5H ÍTESTES:Ó</v>
      </c>
      <c r="E38" s="526"/>
      <c r="G38" s="321"/>
      <c r="H38" s="321"/>
      <c r="I38" s="321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</row>
    <row r="39" spans="1:25" s="320" customFormat="1" ht="9" customHeight="1">
      <c r="A39" s="327"/>
      <c r="B39" s="327"/>
      <c r="C39" s="327"/>
      <c r="D39" s="331"/>
      <c r="E39" s="33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</row>
    <row r="40" spans="1:25" ht="21.75" customHeight="1">
      <c r="A40" s="380" t="s">
        <v>66</v>
      </c>
      <c r="B40" s="380"/>
      <c r="C40" s="521" t="s">
        <v>333</v>
      </c>
      <c r="D40" s="521"/>
      <c r="E40" s="391" t="s">
        <v>68</v>
      </c>
      <c r="F40" s="146"/>
      <c r="G40" s="146"/>
      <c r="H40" s="146"/>
      <c r="I40" s="146"/>
      <c r="J40" s="146"/>
      <c r="K40" s="146"/>
      <c r="L40" s="146"/>
      <c r="W40" s="45"/>
      <c r="X40" s="45"/>
      <c r="Y40" s="45"/>
    </row>
    <row r="41" spans="1:25" ht="15.75">
      <c r="A41" s="381">
        <f>IF(Ablauf!C20="","",Ablauf!A20)</f>
        <v>1</v>
      </c>
      <c r="B41" s="379" t="str">
        <f>IF(Ablauf!C20="","",Ablauf!C20)</f>
        <v>Material Zuschnitt</v>
      </c>
      <c r="C41" s="382" t="str">
        <f>IF(Ablauf!AA20="","",Ablauf!AA20&amp;" min")&amp;
IF(Ablauf!U20="",""," | "&amp;Ablauf!U20&amp;" m")&amp;
IF(Ablauf!V20="",""," | "&amp;Ablauf!V20)&amp;
IF(Ablauf!W20="",""," - "&amp;Ablauf!W20&amp;" kg")&amp;
IF(Ablauf!X20="",""," | "&amp;Ablauf!X20)&amp;
IF(Ablauf!Y20="",""," - "&amp;Ablauf!Y20&amp;" kg")&amp;
IF(Ablauf!Z20="",""," | "&amp;Ablauf!Z20&amp;" kg")&amp;
IF(Ablauf!D20="",""," | "&amp;Ablauf!D20)</f>
        <v>10 min | tet</v>
      </c>
      <c r="D41" s="325"/>
      <c r="E41" s="325" t="str">
        <f>IF(Ablauf!C20="","",Ablauf!T20)</f>
        <v>ZU-000 Zuschnitt</v>
      </c>
      <c r="F41" s="146"/>
      <c r="G41" s="146"/>
      <c r="H41" s="146"/>
      <c r="I41" s="146"/>
      <c r="J41" s="146"/>
      <c r="K41" s="146"/>
      <c r="L41" s="146"/>
      <c r="W41" s="45"/>
      <c r="X41" s="45"/>
      <c r="Y41" s="45"/>
    </row>
    <row r="42" spans="1:25" ht="15.75">
      <c r="A42" s="381">
        <f>IF(Ablauf!C21="","",Ablauf!A21)</f>
        <v>2</v>
      </c>
      <c r="B42" s="379" t="str">
        <f>IF(Ablauf!C21="","",Ablauf!C21)</f>
        <v>Formen reinigen</v>
      </c>
      <c r="C42" s="382" t="str">
        <f>IF(Ablauf!AA21="","",Ablauf!AA21&amp;" min")&amp;
IF(Ablauf!U21="",""," | "&amp;Ablauf!U21&amp;" m")&amp;
IF(Ablauf!V21="",""," | "&amp;Ablauf!V21)&amp;
IF(Ablauf!W21="",""," - "&amp;Ablauf!W21&amp;" kg")&amp;
IF(Ablauf!X21="",""," | "&amp;Ablauf!X21)&amp;
IF(Ablauf!Y21="",""," - "&amp;Ablauf!Y21&amp;" kg")&amp;
IF(Ablauf!Z21="",""," | "&amp;Ablauf!Z21&amp;" kg")&amp;
IF(Ablauf!D21="",""," | "&amp;Ablauf!D21)</f>
        <v>10 min</v>
      </c>
      <c r="D42" s="325"/>
      <c r="E42" s="325" t="str">
        <f>IF(Ablauf!C21="","",Ablauf!T21)</f>
        <v>FV-000 Formvorbereitung</v>
      </c>
      <c r="F42" s="146"/>
      <c r="G42" s="146"/>
      <c r="H42" s="146"/>
      <c r="I42" s="146"/>
      <c r="J42" s="146"/>
      <c r="K42" s="146"/>
      <c r="L42" s="146"/>
      <c r="W42" s="45"/>
      <c r="X42" s="45"/>
      <c r="Y42" s="45"/>
    </row>
    <row r="43" spans="1:25" ht="15.75">
      <c r="A43" s="381">
        <f>IF(Ablauf!C22="","",Ablauf!A22)</f>
        <v>3</v>
      </c>
      <c r="B43" s="379" t="str">
        <f>IF(Ablauf!C22="","",Ablauf!C22)</f>
        <v>Formen eintrennen u. polieren</v>
      </c>
      <c r="C43" s="382" t="str">
        <f>IF(Ablauf!AA22="","",Ablauf!AA22&amp;" min")&amp;
IF(Ablauf!U22="",""," | "&amp;Ablauf!U22&amp;" m")&amp;
IF(Ablauf!V22="",""," | "&amp;Ablauf!V22)&amp;
IF(Ablauf!W22="",""," - "&amp;Ablauf!W22&amp;" kg")&amp;
IF(Ablauf!X22="",""," | "&amp;Ablauf!X22)&amp;
IF(Ablauf!Y22="",""," - "&amp;Ablauf!Y22&amp;" kg")&amp;
IF(Ablauf!Z22="",""," | "&amp;Ablauf!Z22&amp;" kg")&amp;
IF(Ablauf!D22="",""," | "&amp;Ablauf!D22)</f>
        <v>10 min</v>
      </c>
      <c r="D43" s="325"/>
      <c r="E43" s="325" t="str">
        <f>IF(Ablauf!C22="","",Ablauf!T22)</f>
        <v>FV-000 Formvorbereitung</v>
      </c>
      <c r="F43" s="146"/>
      <c r="G43" s="146"/>
      <c r="H43" s="146"/>
      <c r="I43" s="146"/>
      <c r="J43" s="146"/>
      <c r="K43" s="146"/>
      <c r="L43" s="146"/>
      <c r="W43" s="45"/>
      <c r="X43" s="45"/>
      <c r="Y43" s="45"/>
    </row>
    <row r="44" spans="1:25" ht="15.75">
      <c r="A44" s="381">
        <f>IF(Ablauf!C23="","",Ablauf!A23)</f>
        <v>4</v>
      </c>
      <c r="B44" s="379" t="str">
        <f>IF(Ablauf!C23="","",Ablauf!C23)</f>
        <v>Gelcoat spritzen</v>
      </c>
      <c r="C44" s="382" t="str">
        <f>IF(Ablauf!AA23="","",Ablauf!AA23&amp;" min")&amp;
IF(Ablauf!U23="",""," | "&amp;Ablauf!U23&amp;" m")&amp;
IF(Ablauf!V23="",""," | "&amp;Ablauf!V23)&amp;
IF(Ablauf!W23="",""," - "&amp;Ablauf!W23&amp;" kg")&amp;
IF(Ablauf!X23="",""," | "&amp;Ablauf!X23)&amp;
IF(Ablauf!Y23="",""," - "&amp;Ablauf!Y23&amp;" kg")&amp;
IF(Ablauf!Z23="",""," | "&amp;Ablauf!Z23&amp;" kg")&amp;
IF(Ablauf!D23="",""," | "&amp;Ablauf!D23)</f>
        <v>10 min | RAL 7218 - 0,64 kg</v>
      </c>
      <c r="D44" s="325"/>
      <c r="E44" s="325" t="str">
        <f>IF(Ablauf!C23="","",Ablauf!T23)</f>
        <v>CO-000 Coating</v>
      </c>
      <c r="F44" s="146"/>
      <c r="G44" s="146"/>
      <c r="H44" s="146"/>
      <c r="I44" s="146"/>
      <c r="J44" s="146"/>
      <c r="K44" s="146"/>
      <c r="L44" s="146"/>
      <c r="W44" s="45"/>
      <c r="X44" s="45"/>
      <c r="Y44" s="45"/>
    </row>
    <row r="45" spans="1:25" ht="15.75">
      <c r="A45" s="381">
        <f>IF(Ablauf!C24="","",Ablauf!A24)</f>
        <v>5</v>
      </c>
      <c r="B45" s="379" t="str">
        <f>IF(Ablauf!C24="","",Ablauf!C24)</f>
        <v>Formbau 450 g/m²</v>
      </c>
      <c r="C45" s="382" t="str">
        <f>IF(Ablauf!AA24="","",Ablauf!AA24&amp;" min")&amp;
IF(Ablauf!U24="",""," | "&amp;Ablauf!U24&amp;" m")&amp;
IF(Ablauf!V24="",""," | "&amp;Ablauf!V24)&amp;
IF(Ablauf!W24="",""," - "&amp;Ablauf!W24&amp;" kg")&amp;
IF(Ablauf!X24="",""," | "&amp;Ablauf!X24)&amp;
IF(Ablauf!Y24="",""," - "&amp;Ablauf!Y24&amp;" kg")&amp;
IF(Ablauf!Z24="",""," | "&amp;Ablauf!Z24&amp;" kg")&amp;
IF(Ablauf!D24="",""," | "&amp;Ablauf!D24)</f>
        <v>30 min</v>
      </c>
      <c r="D45" s="325"/>
      <c r="E45" s="325" t="str">
        <f>IF(Ablauf!C24="","",Ablauf!T24)</f>
        <v>FO-000 Formbau</v>
      </c>
      <c r="F45" s="146"/>
      <c r="G45" s="146"/>
      <c r="H45" s="146"/>
      <c r="I45" s="146"/>
      <c r="J45" s="146"/>
      <c r="K45" s="146"/>
      <c r="L45" s="146"/>
      <c r="W45" s="45"/>
      <c r="X45" s="45"/>
      <c r="Y45" s="45"/>
    </row>
    <row r="46" spans="1:25" ht="15.75">
      <c r="A46" s="381">
        <f>IF(Ablauf!C25="","",Ablauf!A25)</f>
        <v>6</v>
      </c>
      <c r="B46" s="379" t="str">
        <f>IF(Ablauf!C25="","",Ablauf!C25)</f>
        <v>Formbau 450 g/m²</v>
      </c>
      <c r="C46" s="382" t="str">
        <f>IF(Ablauf!AA25="","",Ablauf!AA25&amp;" min")&amp;
IF(Ablauf!U25="",""," | "&amp;Ablauf!U25&amp;" m")&amp;
IF(Ablauf!V25="",""," | "&amp;Ablauf!V25)&amp;
IF(Ablauf!W25="",""," - "&amp;Ablauf!W25&amp;" kg")&amp;
IF(Ablauf!X25="",""," | "&amp;Ablauf!X25)&amp;
IF(Ablauf!Y25="",""," - "&amp;Ablauf!Y25&amp;" kg")&amp;
IF(Ablauf!Z25="",""," | "&amp;Ablauf!Z25&amp;" kg")&amp;
IF(Ablauf!D25="",""," | "&amp;Ablauf!D25)</f>
        <v>30 min</v>
      </c>
      <c r="D46" s="325"/>
      <c r="E46" s="325" t="str">
        <f>IF(Ablauf!C25="","",Ablauf!T25)</f>
        <v>FO-000 Formbau</v>
      </c>
      <c r="F46" s="146"/>
      <c r="G46" s="146"/>
      <c r="H46" s="146"/>
      <c r="I46" s="146"/>
      <c r="J46" s="146"/>
      <c r="K46" s="146"/>
      <c r="L46" s="146"/>
      <c r="W46" s="45"/>
      <c r="X46" s="45"/>
      <c r="Y46" s="45"/>
    </row>
    <row r="47" spans="1:25" ht="15.75">
      <c r="A47" s="381">
        <f>IF(Ablauf!C26="","",Ablauf!A26)</f>
        <v>7</v>
      </c>
      <c r="B47" s="379" t="str">
        <f>IF(Ablauf!C26="","",Ablauf!C26)</f>
        <v>Formbau 450 g/m²</v>
      </c>
      <c r="C47" s="382" t="str">
        <f>IF(Ablauf!AA26="","",Ablauf!AA26&amp;" min")&amp;
IF(Ablauf!U26="",""," | "&amp;Ablauf!U26&amp;" m")&amp;
IF(Ablauf!V26="",""," | "&amp;Ablauf!V26)&amp;
IF(Ablauf!W26="",""," - "&amp;Ablauf!W26&amp;" kg")&amp;
IF(Ablauf!X26="",""," | "&amp;Ablauf!X26)&amp;
IF(Ablauf!Y26="",""," - "&amp;Ablauf!Y26&amp;" kg")&amp;
IF(Ablauf!Z26="",""," | "&amp;Ablauf!Z26&amp;" kg")&amp;
IF(Ablauf!D26="",""," | "&amp;Ablauf!D26)</f>
        <v>30 min</v>
      </c>
      <c r="D47" s="325"/>
      <c r="E47" s="325" t="str">
        <f>IF(Ablauf!C26="","",Ablauf!T26)</f>
        <v>FO-000 Formbau</v>
      </c>
      <c r="F47" s="146"/>
      <c r="G47" s="146"/>
      <c r="H47" s="146"/>
      <c r="I47" s="146"/>
      <c r="J47" s="146"/>
      <c r="K47" s="146"/>
      <c r="L47" s="146"/>
      <c r="W47" s="45"/>
      <c r="X47" s="45"/>
      <c r="Y47" s="45"/>
    </row>
    <row r="48" spans="1:25" ht="15.75">
      <c r="A48" s="381">
        <f>IF(Ablauf!C27="","",Ablauf!A27)</f>
        <v>8</v>
      </c>
      <c r="B48" s="379" t="str">
        <f>IF(Ablauf!C27="","",Ablauf!C27)</f>
        <v>Formbau 450 g/m²</v>
      </c>
      <c r="C48" s="382" t="str">
        <f>IF(Ablauf!AA27="","",Ablauf!AA27&amp;" min")&amp;
IF(Ablauf!U27="",""," | "&amp;Ablauf!U27&amp;" m")&amp;
IF(Ablauf!V27="",""," | "&amp;Ablauf!V27)&amp;
IF(Ablauf!W27="",""," - "&amp;Ablauf!W27&amp;" kg")&amp;
IF(Ablauf!X27="",""," | "&amp;Ablauf!X27)&amp;
IF(Ablauf!Y27="",""," - "&amp;Ablauf!Y27&amp;" kg")&amp;
IF(Ablauf!Z27="",""," | "&amp;Ablauf!Z27&amp;" kg")&amp;
IF(Ablauf!D27="",""," | "&amp;Ablauf!D27)</f>
        <v>30 min</v>
      </c>
      <c r="D48" s="325"/>
      <c r="E48" s="325" t="str">
        <f>IF(Ablauf!C27="","",Ablauf!T27)</f>
        <v>FO-000 Formbau</v>
      </c>
      <c r="F48" s="146"/>
      <c r="G48" s="146"/>
      <c r="H48" s="146"/>
      <c r="I48" s="146"/>
      <c r="J48" s="146"/>
      <c r="K48" s="146"/>
      <c r="L48" s="146"/>
      <c r="W48" s="45"/>
      <c r="X48" s="45"/>
      <c r="Y48" s="45"/>
    </row>
    <row r="49" spans="1:25" ht="15.75">
      <c r="A49" s="381">
        <f>IF(Ablauf!C28="","",Ablauf!A28)</f>
        <v>9</v>
      </c>
      <c r="B49" s="379" t="str">
        <f>IF(Ablauf!C28="","",Ablauf!C28)</f>
        <v>Tempern</v>
      </c>
      <c r="C49" s="382" t="str">
        <f>IF(Ablauf!AA28="","",Ablauf!AA28&amp;" min")&amp;
IF(Ablauf!U28="",""," | "&amp;Ablauf!U28&amp;" m")&amp;
IF(Ablauf!V28="",""," | "&amp;Ablauf!V28)&amp;
IF(Ablauf!W28="",""," - "&amp;Ablauf!W28&amp;" kg")&amp;
IF(Ablauf!X28="",""," | "&amp;Ablauf!X28)&amp;
IF(Ablauf!Y28="",""," - "&amp;Ablauf!Y28&amp;" kg")&amp;
IF(Ablauf!Z28="",""," | "&amp;Ablauf!Z28&amp;" kg")&amp;
IF(Ablauf!D28="",""," | "&amp;Ablauf!D28)</f>
        <v>10 min | RT 12h</v>
      </c>
      <c r="D49" s="325"/>
      <c r="E49" s="325" t="str">
        <f>IF(Ablauf!C28="","",Ablauf!T28)</f>
        <v>TE-000 Tempern</v>
      </c>
      <c r="F49" s="146"/>
      <c r="G49" s="146"/>
      <c r="H49" s="146"/>
      <c r="I49" s="146"/>
      <c r="J49" s="146"/>
      <c r="K49" s="146"/>
      <c r="L49" s="146"/>
      <c r="W49" s="45"/>
      <c r="X49" s="45"/>
      <c r="Y49" s="45"/>
    </row>
    <row r="50" spans="1:25" ht="15.75">
      <c r="A50" s="381">
        <f>IF(Ablauf!C29="","",Ablauf!A29)</f>
        <v>10</v>
      </c>
      <c r="B50" s="379" t="str">
        <f>IF(Ablauf!C29="","",Ablauf!C29)</f>
        <v>Formbau 450 g/m²</v>
      </c>
      <c r="C50" s="382" t="str">
        <f>IF(Ablauf!AA29="","",Ablauf!AA29&amp;" min")&amp;
IF(Ablauf!U29="",""," | "&amp;Ablauf!U29&amp;" m")&amp;
IF(Ablauf!V29="",""," | "&amp;Ablauf!V29)&amp;
IF(Ablauf!W29="",""," - "&amp;Ablauf!W29&amp;" kg")&amp;
IF(Ablauf!X29="",""," | "&amp;Ablauf!X29)&amp;
IF(Ablauf!Y29="",""," - "&amp;Ablauf!Y29&amp;" kg")&amp;
IF(Ablauf!Z29="",""," | "&amp;Ablauf!Z29&amp;" kg")&amp;
IF(Ablauf!D29="",""," | "&amp;Ablauf!D29)</f>
        <v>30 min</v>
      </c>
      <c r="D50" s="325"/>
      <c r="E50" s="325" t="str">
        <f>IF(Ablauf!C29="","",Ablauf!T29)</f>
        <v>FO-000 Formbau</v>
      </c>
      <c r="F50" s="146"/>
      <c r="G50" s="146"/>
      <c r="H50" s="146"/>
      <c r="I50" s="146"/>
      <c r="J50" s="146"/>
      <c r="K50" s="146"/>
      <c r="L50" s="146"/>
      <c r="W50" s="45"/>
      <c r="X50" s="45"/>
      <c r="Y50" s="45"/>
    </row>
    <row r="51" spans="1:25" ht="15.75">
      <c r="A51" s="381">
        <f>IF(Ablauf!C30="","",Ablauf!A30)</f>
        <v>11</v>
      </c>
      <c r="B51" s="379" t="str">
        <f>IF(Ablauf!C30="","",Ablauf!C30)</f>
        <v>Formbau 450 g/m²</v>
      </c>
      <c r="C51" s="382" t="str">
        <f>IF(Ablauf!AA30="","",Ablauf!AA30&amp;" min")&amp;
IF(Ablauf!U30="",""," | "&amp;Ablauf!U30&amp;" m")&amp;
IF(Ablauf!V30="",""," | "&amp;Ablauf!V30)&amp;
IF(Ablauf!W30="",""," - "&amp;Ablauf!W30&amp;" kg")&amp;
IF(Ablauf!X30="",""," | "&amp;Ablauf!X30)&amp;
IF(Ablauf!Y30="",""," - "&amp;Ablauf!Y30&amp;" kg")&amp;
IF(Ablauf!Z30="",""," | "&amp;Ablauf!Z30&amp;" kg")&amp;
IF(Ablauf!D30="",""," | "&amp;Ablauf!D30)</f>
        <v>30 min</v>
      </c>
      <c r="D51" s="325"/>
      <c r="E51" s="325" t="str">
        <f>IF(Ablauf!C30="","",Ablauf!T30)</f>
        <v>FO-000 Formbau</v>
      </c>
      <c r="F51" s="146"/>
      <c r="G51" s="146"/>
      <c r="H51" s="146"/>
      <c r="I51" s="146"/>
      <c r="J51" s="146"/>
      <c r="K51" s="146"/>
      <c r="L51" s="146"/>
      <c r="W51" s="45"/>
      <c r="X51" s="45"/>
      <c r="Y51" s="45"/>
    </row>
    <row r="52" spans="1:25" ht="15.75">
      <c r="A52" s="381">
        <f>IF(Ablauf!C31="","",Ablauf!A31)</f>
        <v>12</v>
      </c>
      <c r="B52" s="379" t="str">
        <f>IF(Ablauf!C31="","",Ablauf!C31)</f>
        <v>Formbau 450 g/m²</v>
      </c>
      <c r="C52" s="382" t="str">
        <f>IF(Ablauf!AA31="","",Ablauf!AA31&amp;" min")&amp;
IF(Ablauf!U31="",""," | "&amp;Ablauf!U31&amp;" m")&amp;
IF(Ablauf!V31="",""," | "&amp;Ablauf!V31)&amp;
IF(Ablauf!W31="",""," - "&amp;Ablauf!W31&amp;" kg")&amp;
IF(Ablauf!X31="",""," | "&amp;Ablauf!X31)&amp;
IF(Ablauf!Y31="",""," - "&amp;Ablauf!Y31&amp;" kg")&amp;
IF(Ablauf!Z31="",""," | "&amp;Ablauf!Z31&amp;" kg")&amp;
IF(Ablauf!D31="",""," | "&amp;Ablauf!D31)</f>
        <v>30 min</v>
      </c>
      <c r="D52" s="325"/>
      <c r="E52" s="325" t="str">
        <f>IF(Ablauf!C31="","",Ablauf!T31)</f>
        <v>FO-000 Formbau</v>
      </c>
      <c r="F52" s="146"/>
      <c r="G52" s="146"/>
      <c r="H52" s="146"/>
      <c r="I52" s="146"/>
      <c r="J52" s="146"/>
      <c r="K52" s="146"/>
      <c r="L52" s="146"/>
      <c r="W52" s="45"/>
      <c r="X52" s="45"/>
      <c r="Y52" s="45"/>
    </row>
    <row r="53" spans="1:25" ht="15.75">
      <c r="A53" s="381">
        <f>IF(Ablauf!C32="","",Ablauf!A32)</f>
        <v>13</v>
      </c>
      <c r="B53" s="379" t="str">
        <f>IF(Ablauf!C32="","",Ablauf!C32)</f>
        <v>Formbau 450 g/m²</v>
      </c>
      <c r="C53" s="382" t="str">
        <f>IF(Ablauf!AA32="","",Ablauf!AA32&amp;" min")&amp;
IF(Ablauf!U32="",""," | "&amp;Ablauf!U32&amp;" m")&amp;
IF(Ablauf!V32="",""," | "&amp;Ablauf!V32)&amp;
IF(Ablauf!W32="",""," - "&amp;Ablauf!W32&amp;" kg")&amp;
IF(Ablauf!X32="",""," | "&amp;Ablauf!X32)&amp;
IF(Ablauf!Y32="",""," - "&amp;Ablauf!Y32&amp;" kg")&amp;
IF(Ablauf!Z32="",""," | "&amp;Ablauf!Z32&amp;" kg")&amp;
IF(Ablauf!D32="",""," | "&amp;Ablauf!D32)</f>
        <v>30 min</v>
      </c>
      <c r="D53" s="325"/>
      <c r="E53" s="325" t="str">
        <f>IF(Ablauf!C32="","",Ablauf!T32)</f>
        <v>FO-000 Formbau</v>
      </c>
      <c r="F53" s="42"/>
      <c r="G53" s="42"/>
      <c r="H53" s="42"/>
      <c r="I53" s="42"/>
      <c r="J53" s="42"/>
      <c r="K53" s="42"/>
      <c r="L53" s="42"/>
      <c r="W53" s="45"/>
      <c r="X53" s="45"/>
      <c r="Y53" s="45"/>
    </row>
    <row r="54" spans="1:25" ht="15.75">
      <c r="A54" s="381">
        <f>IF(Ablauf!C33="","",Ablauf!A33)</f>
        <v>14</v>
      </c>
      <c r="B54" s="379" t="str">
        <f>IF(Ablauf!C33="","",Ablauf!C33)</f>
        <v>Tempern</v>
      </c>
      <c r="C54" s="382" t="str">
        <f>IF(Ablauf!AA33="","",Ablauf!AA33&amp;" min")&amp;
IF(Ablauf!U33="",""," | "&amp;Ablauf!U33&amp;" m")&amp;
IF(Ablauf!V33="",""," | "&amp;Ablauf!V33)&amp;
IF(Ablauf!W33="",""," - "&amp;Ablauf!W33&amp;" kg")&amp;
IF(Ablauf!X33="",""," | "&amp;Ablauf!X33)&amp;
IF(Ablauf!Y33="",""," - "&amp;Ablauf!Y33&amp;" kg")&amp;
IF(Ablauf!Z33="",""," | "&amp;Ablauf!Z33&amp;" kg")&amp;
IF(Ablauf!D33="",""," | "&amp;Ablauf!D33)</f>
        <v>10 min | 80°C 2 h</v>
      </c>
      <c r="D54" s="325"/>
      <c r="E54" s="325" t="str">
        <f>IF(Ablauf!C33="","",Ablauf!T33)</f>
        <v>TE-000 Tempern</v>
      </c>
      <c r="F54" s="146"/>
      <c r="G54" s="146"/>
      <c r="H54" s="146"/>
      <c r="I54" s="146"/>
      <c r="J54" s="146"/>
      <c r="K54" s="146"/>
      <c r="L54" s="146"/>
      <c r="W54" s="45"/>
      <c r="X54" s="45"/>
      <c r="Y54" s="45"/>
    </row>
    <row r="55" spans="1:25" ht="15.75">
      <c r="A55" s="381">
        <f>IF(Ablauf!C34="","",Ablauf!A34)</f>
        <v>15</v>
      </c>
      <c r="B55" s="379" t="str">
        <f>IF(Ablauf!C34="","",Ablauf!C34)</f>
        <v>Entformen</v>
      </c>
      <c r="C55" s="382" t="str">
        <f>IF(Ablauf!AA34="","",Ablauf!AA34&amp;" min")&amp;
IF(Ablauf!U34="",""," | "&amp;Ablauf!U34&amp;" m")&amp;
IF(Ablauf!V34="",""," | "&amp;Ablauf!V34)&amp;
IF(Ablauf!W34="",""," - "&amp;Ablauf!W34&amp;" kg")&amp;
IF(Ablauf!X34="",""," | "&amp;Ablauf!X34)&amp;
IF(Ablauf!Y34="",""," - "&amp;Ablauf!Y34&amp;" kg")&amp;
IF(Ablauf!Z34="",""," | "&amp;Ablauf!Z34&amp;" kg")&amp;
IF(Ablauf!D34="",""," | "&amp;Ablauf!D34)</f>
        <v>10 min</v>
      </c>
      <c r="D55" s="325"/>
      <c r="E55" s="325" t="str">
        <f>IF(Ablauf!C34="","",Ablauf!T34)</f>
        <v>EF-000 Entformen</v>
      </c>
      <c r="F55" s="146"/>
      <c r="G55" s="146"/>
      <c r="H55" s="146"/>
      <c r="I55" s="146"/>
      <c r="J55" s="146"/>
      <c r="K55" s="146"/>
      <c r="L55" s="146"/>
      <c r="W55" s="45"/>
      <c r="X55" s="45"/>
      <c r="Y55" s="45"/>
    </row>
    <row r="56" spans="1:25" ht="15.75">
      <c r="A56" s="381">
        <f>IF(Ablauf!C35="","",Ablauf!A35)</f>
        <v>16</v>
      </c>
      <c r="B56" s="379" t="str">
        <f>IF(Ablauf!C35="","",Ablauf!C35)</f>
        <v xml:space="preserve">Beschneiden </v>
      </c>
      <c r="C56" s="382" t="str">
        <f>IF(Ablauf!AA35="","",Ablauf!AA35&amp;" min")&amp;
IF(Ablauf!U35="",""," | "&amp;Ablauf!U35&amp;" m")&amp;
IF(Ablauf!V35="",""," | "&amp;Ablauf!V35)&amp;
IF(Ablauf!W35="",""," - "&amp;Ablauf!W35&amp;" kg")&amp;
IF(Ablauf!X35="",""," | "&amp;Ablauf!X35)&amp;
IF(Ablauf!Y35="",""," - "&amp;Ablauf!Y35&amp;" kg")&amp;
IF(Ablauf!Z35="",""," | "&amp;Ablauf!Z35&amp;" kg")&amp;
IF(Ablauf!D35="",""," | "&amp;Ablauf!D35)</f>
        <v>20 min | 4 m</v>
      </c>
      <c r="D56" s="325"/>
      <c r="E56" s="325" t="str">
        <f>IF(Ablauf!C35="","",Ablauf!T35)</f>
        <v>BS-000 Beschnitt</v>
      </c>
      <c r="F56" s="146"/>
      <c r="G56" s="146"/>
      <c r="H56" s="146"/>
      <c r="I56" s="146"/>
      <c r="J56" s="146"/>
      <c r="K56" s="146"/>
      <c r="L56" s="146"/>
      <c r="W56" s="45"/>
      <c r="X56" s="45"/>
      <c r="Y56" s="45"/>
    </row>
    <row r="57" spans="1:25" ht="15.75">
      <c r="A57" s="381">
        <f>IF(Ablauf!C36="","",Ablauf!A36)</f>
        <v>17</v>
      </c>
      <c r="B57" s="379" t="str">
        <f>IF(Ablauf!C36="","",Ablauf!C36)</f>
        <v>Montage</v>
      </c>
      <c r="C57" s="382" t="str">
        <f>IF(Ablauf!AA36="","",Ablauf!AA36&amp;" min")&amp;
IF(Ablauf!U36="",""," | "&amp;Ablauf!U36&amp;" m")&amp;
IF(Ablauf!V36="",""," | "&amp;Ablauf!V36)&amp;
IF(Ablauf!W36="",""," - "&amp;Ablauf!W36&amp;" kg")&amp;
IF(Ablauf!X36="",""," | "&amp;Ablauf!X36)&amp;
IF(Ablauf!Y36="",""," - "&amp;Ablauf!Y36&amp;" kg")&amp;
IF(Ablauf!Z36="",""," | "&amp;Ablauf!Z36&amp;" kg")&amp;
IF(Ablauf!D36="",""," | "&amp;Ablauf!D36)</f>
        <v>20 min</v>
      </c>
      <c r="D57" s="325"/>
      <c r="E57" s="325" t="str">
        <f>IF(Ablauf!C36="","",Ablauf!T36)</f>
        <v xml:space="preserve">MO-000 Montage </v>
      </c>
      <c r="F57" s="146"/>
      <c r="G57" s="146"/>
      <c r="H57" s="146"/>
      <c r="I57" s="146"/>
      <c r="J57" s="146"/>
      <c r="K57" s="146"/>
      <c r="L57" s="146"/>
      <c r="W57" s="45"/>
      <c r="X57" s="45"/>
      <c r="Y57" s="45"/>
    </row>
    <row r="58" spans="1:25" ht="15.75">
      <c r="A58" s="381">
        <f>IF(Ablauf!C37="","",Ablauf!A37)</f>
        <v>18</v>
      </c>
      <c r="B58" s="379" t="str">
        <f>IF(Ablauf!C37="","",Ablauf!C37)</f>
        <v>Qualitätsprüfung</v>
      </c>
      <c r="C58" s="382" t="str">
        <f>IF(Ablauf!AA37="","",Ablauf!AA37&amp;" min")&amp;
IF(Ablauf!U37="",""," | "&amp;Ablauf!U37&amp;" m")&amp;
IF(Ablauf!V37="",""," | "&amp;Ablauf!V37)&amp;
IF(Ablauf!W37="",""," - "&amp;Ablauf!W37&amp;" kg")&amp;
IF(Ablauf!X37="",""," | "&amp;Ablauf!X37)&amp;
IF(Ablauf!Y37="",""," - "&amp;Ablauf!Y37&amp;" kg")&amp;
IF(Ablauf!Z37="",""," | "&amp;Ablauf!Z37&amp;" kg")&amp;
IF(Ablauf!D37="",""," | "&amp;Ablauf!D37)</f>
        <v>10 min | 17,55 kg</v>
      </c>
      <c r="D58" s="325"/>
      <c r="E58" s="325" t="str">
        <f>IF(Ablauf!C37="","",Ablauf!T37)</f>
        <v>QK-000 Endkontrolle</v>
      </c>
      <c r="F58" s="146"/>
      <c r="G58" s="146"/>
      <c r="H58" s="146"/>
      <c r="I58" s="146"/>
      <c r="J58" s="146"/>
      <c r="K58" s="146"/>
      <c r="L58" s="146"/>
      <c r="W58" s="45"/>
      <c r="X58" s="45"/>
      <c r="Y58" s="45"/>
    </row>
    <row r="59" spans="1:25" ht="15.75">
      <c r="A59" s="381">
        <f>IF(Ablauf!C38="","",Ablauf!A38)</f>
        <v>19</v>
      </c>
      <c r="B59" s="379" t="str">
        <f>IF(Ablauf!C38="","",Ablauf!C38)</f>
        <v>Versand Vorbereitung</v>
      </c>
      <c r="C59" s="382" t="str">
        <f>IF(Ablauf!AA38="","",Ablauf!AA38&amp;" min")&amp;
IF(Ablauf!U38="",""," | "&amp;Ablauf!U38&amp;" m")&amp;
IF(Ablauf!V38="",""," | "&amp;Ablauf!V38)&amp;
IF(Ablauf!W38="",""," - "&amp;Ablauf!W38&amp;" kg")&amp;
IF(Ablauf!X38="",""," | "&amp;Ablauf!X38)&amp;
IF(Ablauf!Y38="",""," - "&amp;Ablauf!Y38&amp;" kg")&amp;
IF(Ablauf!Z38="",""," | "&amp;Ablauf!Z38&amp;" kg")&amp;
IF(Ablauf!D38="",""," | "&amp;Ablauf!D38)</f>
        <v>10 min | 17,55 kg</v>
      </c>
      <c r="D59" s="325"/>
      <c r="E59" s="325" t="str">
        <f>IF(Ablauf!C38="","",Ablauf!T38)</f>
        <v>VE-000 Versand</v>
      </c>
      <c r="F59" s="146"/>
      <c r="G59" s="146"/>
      <c r="H59" s="146"/>
      <c r="I59" s="146"/>
      <c r="J59" s="146"/>
      <c r="K59" s="146"/>
      <c r="L59" s="146"/>
      <c r="W59" s="45"/>
      <c r="X59" s="45"/>
      <c r="Y59" s="45"/>
    </row>
    <row r="60" spans="1:25" ht="15.75">
      <c r="A60" s="381" t="str">
        <f>IF(Ablauf!C39="","",Ablauf!A39)</f>
        <v/>
      </c>
      <c r="B60" s="379" t="str">
        <f>IF(Ablauf!C39="","",Ablauf!C39)</f>
        <v/>
      </c>
      <c r="C60" s="382" t="str">
        <f>IF(Ablauf!AA39="","",Ablauf!AA39&amp;" min")&amp;
IF(Ablauf!U39="",""," | "&amp;Ablauf!U39&amp;" m")&amp;
IF(Ablauf!V39="",""," | "&amp;Ablauf!V39)&amp;
IF(Ablauf!W39="",""," - "&amp;Ablauf!W39&amp;" kg")&amp;
IF(Ablauf!X39="",""," | "&amp;Ablauf!X39)&amp;
IF(Ablauf!Y39="",""," - "&amp;Ablauf!Y39&amp;" kg")&amp;
IF(Ablauf!Z39="",""," | "&amp;Ablauf!Z39&amp;" kg")&amp;
IF(Ablauf!D39="",""," | "&amp;Ablauf!D39)</f>
        <v/>
      </c>
      <c r="D60" s="325"/>
      <c r="E60" s="325" t="str">
        <f>IF(Ablauf!C39="","",Ablauf!T39)</f>
        <v/>
      </c>
      <c r="F60" s="146"/>
      <c r="G60" s="146"/>
      <c r="H60" s="146"/>
      <c r="I60" s="146"/>
      <c r="J60" s="146"/>
      <c r="K60" s="146"/>
      <c r="L60" s="146"/>
      <c r="W60" s="45"/>
      <c r="X60" s="45"/>
      <c r="Y60" s="45"/>
    </row>
    <row r="61" spans="1:25" ht="15.75">
      <c r="A61" s="381" t="str">
        <f>IF(Ablauf!C40="","",Ablauf!A40)</f>
        <v/>
      </c>
      <c r="B61" s="379" t="str">
        <f>IF(Ablauf!C40="","",Ablauf!C40)</f>
        <v/>
      </c>
      <c r="C61" s="382" t="str">
        <f>IF(Ablauf!AA40="","",Ablauf!AA40&amp;" min")&amp;
IF(Ablauf!U40="",""," | "&amp;Ablauf!U40&amp;" m")&amp;
IF(Ablauf!V40="",""," | "&amp;Ablauf!V40)&amp;
IF(Ablauf!W40="",""," - "&amp;Ablauf!W40&amp;" kg")&amp;
IF(Ablauf!X40="",""," | "&amp;Ablauf!X40)&amp;
IF(Ablauf!Y40="",""," - "&amp;Ablauf!Y40&amp;" kg")&amp;
IF(Ablauf!Z40="",""," | "&amp;Ablauf!Z40&amp;" kg")&amp;
IF(Ablauf!D40="",""," | "&amp;Ablauf!D40)</f>
        <v/>
      </c>
      <c r="D61" s="325"/>
      <c r="E61" s="325" t="str">
        <f>IF(Ablauf!C40="","",Ablauf!T40)</f>
        <v/>
      </c>
      <c r="F61" s="146"/>
      <c r="G61" s="146"/>
      <c r="H61" s="146"/>
      <c r="I61" s="146"/>
      <c r="J61" s="146"/>
      <c r="K61" s="146"/>
      <c r="L61" s="146"/>
      <c r="W61" s="45"/>
      <c r="X61" s="45"/>
      <c r="Y61" s="45"/>
    </row>
    <row r="62" spans="1:25" ht="15.75">
      <c r="A62" s="381" t="str">
        <f>IF(Ablauf!C41="","",Ablauf!A41)</f>
        <v/>
      </c>
      <c r="B62" s="379" t="str">
        <f>IF(Ablauf!C41="","",Ablauf!C41)</f>
        <v/>
      </c>
      <c r="C62" s="382" t="str">
        <f>IF(Ablauf!AA41="","",Ablauf!AA41&amp;" min")&amp;
IF(Ablauf!U41="",""," | "&amp;Ablauf!U41&amp;" m")&amp;
IF(Ablauf!V41="",""," | "&amp;Ablauf!V41)&amp;
IF(Ablauf!W41="",""," - "&amp;Ablauf!W41&amp;" kg")&amp;
IF(Ablauf!X41="",""," | "&amp;Ablauf!X41)&amp;
IF(Ablauf!Y41="",""," - "&amp;Ablauf!Y41&amp;" kg")&amp;
IF(Ablauf!Z41="",""," | "&amp;Ablauf!Z41&amp;" kg")&amp;
IF(Ablauf!D41="",""," | "&amp;Ablauf!D41)</f>
        <v/>
      </c>
      <c r="D62" s="325"/>
      <c r="E62" s="325" t="str">
        <f>IF(Ablauf!C41="","",Ablauf!T41)</f>
        <v/>
      </c>
      <c r="F62" s="146"/>
      <c r="G62" s="146"/>
      <c r="H62" s="146"/>
      <c r="I62" s="146"/>
      <c r="J62" s="146"/>
      <c r="K62" s="146"/>
      <c r="L62" s="146"/>
      <c r="W62" s="45"/>
      <c r="X62" s="45"/>
      <c r="Y62" s="45"/>
    </row>
    <row r="63" spans="1:25" ht="15.75">
      <c r="A63" s="381" t="str">
        <f>IF(Ablauf!C42="","",Ablauf!A42)</f>
        <v/>
      </c>
      <c r="B63" s="379" t="str">
        <f>IF(Ablauf!C42="","",Ablauf!C42)</f>
        <v/>
      </c>
      <c r="C63" s="382" t="str">
        <f>IF(Ablauf!AA42="","",Ablauf!AA42&amp;" min")&amp;
IF(Ablauf!U42="",""," | "&amp;Ablauf!U42&amp;" m")&amp;
IF(Ablauf!V42="",""," | "&amp;Ablauf!V42)&amp;
IF(Ablauf!W42="",""," - "&amp;Ablauf!W42&amp;" kg")&amp;
IF(Ablauf!X42="",""," | "&amp;Ablauf!X42)&amp;
IF(Ablauf!Y42="",""," - "&amp;Ablauf!Y42&amp;" kg")&amp;
IF(Ablauf!Z42="",""," | "&amp;Ablauf!Z42&amp;" kg")&amp;
IF(Ablauf!D42="",""," | "&amp;Ablauf!D42)</f>
        <v/>
      </c>
      <c r="D63" s="325"/>
      <c r="E63" s="325" t="str">
        <f>IF(Ablauf!C42="","",Ablauf!T42)</f>
        <v/>
      </c>
      <c r="F63" s="146"/>
      <c r="G63" s="146"/>
      <c r="H63" s="146"/>
      <c r="I63" s="146"/>
      <c r="J63" s="146"/>
      <c r="K63" s="146"/>
      <c r="L63" s="146"/>
      <c r="W63" s="45"/>
      <c r="X63" s="45"/>
      <c r="Y63" s="45"/>
    </row>
    <row r="64" spans="1:25" ht="15.75">
      <c r="A64" s="381" t="str">
        <f>IF(Ablauf!C43="","",Ablauf!A43)</f>
        <v/>
      </c>
      <c r="B64" s="379" t="str">
        <f>IF(Ablauf!C43="","",Ablauf!C43)</f>
        <v/>
      </c>
      <c r="C64" s="382" t="str">
        <f>IF(Ablauf!AA43="","",Ablauf!AA43&amp;" min")&amp;
IF(Ablauf!U43="",""," | "&amp;Ablauf!U43&amp;" m")&amp;
IF(Ablauf!V43="",""," | "&amp;Ablauf!V43)&amp;
IF(Ablauf!W43="",""," - "&amp;Ablauf!W43&amp;" kg")&amp;
IF(Ablauf!X43="",""," | "&amp;Ablauf!X43)&amp;
IF(Ablauf!Y43="",""," - "&amp;Ablauf!Y43&amp;" kg")&amp;
IF(Ablauf!Z43="",""," | "&amp;Ablauf!Z43&amp;" kg")&amp;
IF(Ablauf!D43="",""," | "&amp;Ablauf!D43)</f>
        <v/>
      </c>
      <c r="D64" s="325"/>
      <c r="E64" s="325" t="str">
        <f>IF(Ablauf!C43="","",Ablauf!T43)</f>
        <v/>
      </c>
      <c r="F64" s="31"/>
      <c r="G64" s="31"/>
      <c r="H64" s="31"/>
      <c r="I64" s="31"/>
      <c r="J64" s="31"/>
      <c r="K64" s="31"/>
      <c r="L64" s="31"/>
      <c r="W64" s="45"/>
      <c r="X64" s="45"/>
      <c r="Y64" s="45"/>
    </row>
    <row r="65" spans="1:25" ht="15.75">
      <c r="A65" s="381" t="str">
        <f>IF(Ablauf!C44="","",Ablauf!A44)</f>
        <v/>
      </c>
      <c r="B65" s="379" t="str">
        <f>IF(Ablauf!C44="","",Ablauf!C44)</f>
        <v/>
      </c>
      <c r="C65" s="382" t="str">
        <f>IF(Ablauf!AA44="","",Ablauf!AA44&amp;" min")&amp;
IF(Ablauf!U44="",""," | "&amp;Ablauf!U44&amp;" m")&amp;
IF(Ablauf!V44="",""," | "&amp;Ablauf!V44)&amp;
IF(Ablauf!W44="",""," - "&amp;Ablauf!W44&amp;" kg")&amp;
IF(Ablauf!X44="",""," | "&amp;Ablauf!X44)&amp;
IF(Ablauf!Y44="",""," - "&amp;Ablauf!Y44&amp;" kg")&amp;
IF(Ablauf!Z44="",""," | "&amp;Ablauf!Z44&amp;" kg")&amp;
IF(Ablauf!D44="",""," | "&amp;Ablauf!D44)</f>
        <v/>
      </c>
      <c r="D65" s="325"/>
      <c r="E65" s="325" t="str">
        <f>IF(Ablauf!C44="","",Ablauf!T44)</f>
        <v/>
      </c>
      <c r="F65" s="31"/>
      <c r="G65" s="31"/>
      <c r="H65" s="31"/>
      <c r="I65" s="31"/>
      <c r="J65" s="31"/>
      <c r="K65" s="31"/>
      <c r="L65" s="31"/>
      <c r="W65" s="45"/>
      <c r="X65" s="45"/>
      <c r="Y65" s="45"/>
    </row>
    <row r="66" spans="1:25" ht="15.75">
      <c r="A66" s="381" t="str">
        <f>IF(Ablauf!C45="","",Ablauf!A45)</f>
        <v/>
      </c>
      <c r="B66" s="379" t="str">
        <f>IF(Ablauf!C45="","",Ablauf!C45)</f>
        <v/>
      </c>
      <c r="C66" s="382" t="str">
        <f>IF(Ablauf!AA45="","",Ablauf!AA45&amp;" min")&amp;
IF(Ablauf!U45="",""," | "&amp;Ablauf!U45&amp;" m")&amp;
IF(Ablauf!V45="",""," | "&amp;Ablauf!V45)&amp;
IF(Ablauf!W45="",""," - "&amp;Ablauf!W45&amp;" kg")&amp;
IF(Ablauf!X45="",""," | "&amp;Ablauf!X45)&amp;
IF(Ablauf!Y45="",""," - "&amp;Ablauf!Y45&amp;" kg")&amp;
IF(Ablauf!Z45="",""," | "&amp;Ablauf!Z45&amp;" kg")&amp;
IF(Ablauf!D45="",""," | "&amp;Ablauf!D45)</f>
        <v/>
      </c>
      <c r="D66" s="325"/>
      <c r="E66" s="325" t="str">
        <f>IF(Ablauf!C45="","",Ablauf!T45)</f>
        <v/>
      </c>
      <c r="F66" s="30"/>
      <c r="G66" s="30"/>
      <c r="H66" s="30"/>
      <c r="I66" s="30"/>
      <c r="J66" s="30"/>
      <c r="K66" s="30"/>
      <c r="L66" s="30"/>
      <c r="W66" s="45"/>
      <c r="X66" s="45"/>
      <c r="Y66" s="45"/>
    </row>
    <row r="67" spans="1:25" ht="15.75">
      <c r="A67" s="381" t="str">
        <f>IF(Ablauf!C46="","",Ablauf!A46)</f>
        <v/>
      </c>
      <c r="B67" s="379" t="str">
        <f>IF(Ablauf!C46="","",Ablauf!C46)</f>
        <v/>
      </c>
      <c r="C67" s="382" t="str">
        <f>IF(Ablauf!AA46="","",Ablauf!AA46&amp;" min")&amp;
IF(Ablauf!U46="",""," | "&amp;Ablauf!U46&amp;" m")&amp;
IF(Ablauf!V46="",""," | "&amp;Ablauf!V46)&amp;
IF(Ablauf!W46="",""," - "&amp;Ablauf!W46&amp;" kg")&amp;
IF(Ablauf!X46="",""," | "&amp;Ablauf!X46)&amp;
IF(Ablauf!Y46="",""," - "&amp;Ablauf!Y46&amp;" kg")&amp;
IF(Ablauf!Z46="",""," | "&amp;Ablauf!Z46&amp;" kg")&amp;
IF(Ablauf!D46="",""," | "&amp;Ablauf!D46)</f>
        <v/>
      </c>
      <c r="D67" s="325"/>
      <c r="E67" s="325" t="str">
        <f>IF(Ablauf!C46="","",Ablauf!T46)</f>
        <v/>
      </c>
      <c r="F67" s="30"/>
      <c r="G67" s="30"/>
      <c r="H67" s="30"/>
      <c r="I67" s="30"/>
      <c r="J67" s="30"/>
      <c r="K67" s="30"/>
      <c r="L67" s="30"/>
      <c r="W67" s="45"/>
      <c r="X67" s="45"/>
      <c r="Y67" s="45"/>
    </row>
    <row r="68" spans="1:25" ht="15.75">
      <c r="A68" s="381" t="str">
        <f>IF(Ablauf!C47="","",Ablauf!A47)</f>
        <v/>
      </c>
      <c r="B68" s="379" t="str">
        <f>IF(Ablauf!C47="","",Ablauf!C47)</f>
        <v/>
      </c>
      <c r="C68" s="382" t="str">
        <f>IF(Ablauf!AA47="","",Ablauf!AA47&amp;" min")&amp;
IF(Ablauf!U47="",""," | "&amp;Ablauf!U47&amp;" m")&amp;
IF(Ablauf!V47="",""," | "&amp;Ablauf!V47)&amp;
IF(Ablauf!W47="",""," - "&amp;Ablauf!W47&amp;" kg")&amp;
IF(Ablauf!X47="",""," | "&amp;Ablauf!X47)&amp;
IF(Ablauf!Y47="",""," - "&amp;Ablauf!Y47&amp;" kg")&amp;
IF(Ablauf!Z47="",""," | "&amp;Ablauf!Z47&amp;" kg")&amp;
IF(Ablauf!D47="",""," | "&amp;Ablauf!D47)</f>
        <v/>
      </c>
      <c r="D68" s="325"/>
      <c r="E68" s="325" t="str">
        <f>IF(Ablauf!C47="","",Ablauf!T47)</f>
        <v/>
      </c>
      <c r="F68" s="30"/>
      <c r="G68" s="30"/>
      <c r="H68" s="30"/>
      <c r="I68" s="30"/>
      <c r="J68" s="30"/>
      <c r="K68" s="30"/>
      <c r="L68" s="30"/>
      <c r="W68" s="45"/>
      <c r="X68" s="45"/>
      <c r="Y68" s="45"/>
    </row>
    <row r="69" spans="1:25" ht="15.75">
      <c r="A69" s="381" t="str">
        <f>IF(Ablauf!C48="","",Ablauf!A48)</f>
        <v/>
      </c>
      <c r="B69" s="379" t="str">
        <f>IF(Ablauf!C48="","",Ablauf!C48)</f>
        <v/>
      </c>
      <c r="C69" s="382" t="str">
        <f>IF(Ablauf!AA48="","",Ablauf!AA48&amp;" min")&amp;
IF(Ablauf!U48="",""," | "&amp;Ablauf!U48&amp;" m")&amp;
IF(Ablauf!V48="",""," | "&amp;Ablauf!V48)&amp;
IF(Ablauf!W48="",""," - "&amp;Ablauf!W48&amp;" kg")&amp;
IF(Ablauf!X48="",""," | "&amp;Ablauf!X48)&amp;
IF(Ablauf!Y48="",""," - "&amp;Ablauf!Y48&amp;" kg")&amp;
IF(Ablauf!Z48="",""," | "&amp;Ablauf!Z48&amp;" kg")&amp;
IF(Ablauf!D48="",""," | "&amp;Ablauf!D48)</f>
        <v/>
      </c>
      <c r="D69" s="325"/>
      <c r="E69" s="325" t="str">
        <f>IF(Ablauf!C48="","",Ablauf!T48)</f>
        <v/>
      </c>
      <c r="F69" s="30"/>
      <c r="G69" s="30"/>
      <c r="H69" s="30"/>
      <c r="I69" s="30"/>
      <c r="J69" s="30"/>
      <c r="K69" s="30"/>
      <c r="L69" s="30"/>
      <c r="W69" s="45"/>
      <c r="X69" s="45"/>
      <c r="Y69" s="45"/>
    </row>
    <row r="70" spans="1:25" ht="15.75">
      <c r="A70" s="381" t="str">
        <f>IF(Ablauf!C49="","",Ablauf!A49)</f>
        <v/>
      </c>
      <c r="B70" s="379" t="str">
        <f>IF(Ablauf!C49="","",Ablauf!C49)</f>
        <v/>
      </c>
      <c r="C70" s="382" t="str">
        <f>IF(Ablauf!AA49="","",Ablauf!AA49&amp;" min")&amp;
IF(Ablauf!U49="",""," | "&amp;Ablauf!U49&amp;" m")&amp;
IF(Ablauf!V49="",""," | "&amp;Ablauf!V49)&amp;
IF(Ablauf!W49="",""," - "&amp;Ablauf!W49&amp;" kg")&amp;
IF(Ablauf!X49="",""," | "&amp;Ablauf!X49)&amp;
IF(Ablauf!Y49="",""," - "&amp;Ablauf!Y49&amp;" kg")&amp;
IF(Ablauf!Z49="",""," | "&amp;Ablauf!Z49&amp;" kg")&amp;
IF(Ablauf!D49="",""," | "&amp;Ablauf!D49)</f>
        <v/>
      </c>
      <c r="D70" s="325"/>
      <c r="E70" s="325" t="str">
        <f>IF(Ablauf!C49="","",Ablauf!T49)</f>
        <v/>
      </c>
      <c r="F70" s="30"/>
      <c r="G70" s="30"/>
      <c r="H70" s="30"/>
      <c r="I70" s="30"/>
      <c r="J70" s="30"/>
      <c r="K70" s="30"/>
      <c r="L70" s="30"/>
      <c r="W70" s="45"/>
      <c r="X70" s="45"/>
      <c r="Y70" s="45"/>
    </row>
    <row r="71" spans="1:25" ht="15.75">
      <c r="A71" s="381" t="str">
        <f>IF(Ablauf!C50="","",Ablauf!A50)</f>
        <v/>
      </c>
      <c r="B71" s="379" t="str">
        <f>IF(Ablauf!C50="","",Ablauf!C50)</f>
        <v/>
      </c>
      <c r="C71" s="382" t="str">
        <f>IF(Ablauf!AA50="","",Ablauf!AA50&amp;" min")&amp;
IF(Ablauf!U50="",""," | "&amp;Ablauf!U50&amp;" m")&amp;
IF(Ablauf!V50="",""," | "&amp;Ablauf!V50)&amp;
IF(Ablauf!W50="",""," - "&amp;Ablauf!W50&amp;" kg")&amp;
IF(Ablauf!X50="",""," | "&amp;Ablauf!X50)&amp;
IF(Ablauf!Y50="",""," - "&amp;Ablauf!Y50&amp;" kg")&amp;
IF(Ablauf!Z50="",""," | "&amp;Ablauf!Z50&amp;" kg")&amp;
IF(Ablauf!D50="",""," | "&amp;Ablauf!D50)</f>
        <v/>
      </c>
      <c r="D71" s="325"/>
      <c r="E71" s="325" t="str">
        <f>IF(Ablauf!C50="","",Ablauf!T50)</f>
        <v/>
      </c>
      <c r="F71" s="30"/>
      <c r="G71" s="30"/>
      <c r="H71" s="30"/>
      <c r="I71" s="30"/>
      <c r="J71" s="30"/>
      <c r="K71" s="30"/>
      <c r="L71" s="30"/>
      <c r="W71" s="45"/>
      <c r="X71" s="45"/>
      <c r="Y71" s="45"/>
    </row>
    <row r="72" spans="1:25" ht="15.75">
      <c r="A72" s="381" t="str">
        <f>IF(Ablauf!C51="","",Ablauf!A51)</f>
        <v/>
      </c>
      <c r="B72" s="379" t="str">
        <f>IF(Ablauf!C51="","",Ablauf!C51)</f>
        <v/>
      </c>
      <c r="C72" s="382" t="str">
        <f>IF(Ablauf!AA51="","",Ablauf!AA51&amp;" min")&amp;
IF(Ablauf!U51="",""," | "&amp;Ablauf!U51&amp;" m")&amp;
IF(Ablauf!V51="",""," | "&amp;Ablauf!V51)&amp;
IF(Ablauf!W51="",""," - "&amp;Ablauf!W51&amp;" kg")&amp;
IF(Ablauf!X51="",""," | "&amp;Ablauf!X51)&amp;
IF(Ablauf!Y51="",""," - "&amp;Ablauf!Y51&amp;" kg")&amp;
IF(Ablauf!Z51="",""," | "&amp;Ablauf!Z51&amp;" kg")&amp;
IF(Ablauf!D51="",""," | "&amp;Ablauf!D51)</f>
        <v/>
      </c>
      <c r="D72" s="325"/>
      <c r="E72" s="325" t="str">
        <f>IF(Ablauf!C51="","",Ablauf!T51)</f>
        <v/>
      </c>
      <c r="F72" s="30"/>
      <c r="G72" s="30"/>
      <c r="H72" s="30"/>
      <c r="I72" s="30"/>
      <c r="J72" s="30"/>
      <c r="K72" s="30"/>
      <c r="L72" s="30"/>
      <c r="W72" s="45"/>
      <c r="X72" s="45"/>
      <c r="Y72" s="45"/>
    </row>
    <row r="73" spans="1:25" ht="15.75">
      <c r="A73" s="381" t="str">
        <f>IF(Ablauf!C52="","",Ablauf!A52)</f>
        <v/>
      </c>
      <c r="B73" s="379" t="str">
        <f>IF(Ablauf!C52="","",Ablauf!C52)</f>
        <v/>
      </c>
      <c r="C73" s="382" t="str">
        <f>IF(Ablauf!AA52="","",Ablauf!AA52&amp;" min")&amp;
IF(Ablauf!U52="",""," | "&amp;Ablauf!U52&amp;" m")&amp;
IF(Ablauf!V52="",""," | "&amp;Ablauf!V52)&amp;
IF(Ablauf!W52="",""," - "&amp;Ablauf!W52&amp;" kg")&amp;
IF(Ablauf!X52="",""," | "&amp;Ablauf!X52)&amp;
IF(Ablauf!Y52="",""," - "&amp;Ablauf!Y52&amp;" kg")&amp;
IF(Ablauf!Z52="",""," | "&amp;Ablauf!Z52&amp;" kg")&amp;
IF(Ablauf!D52="",""," | "&amp;Ablauf!D52)</f>
        <v/>
      </c>
      <c r="D73" s="325"/>
      <c r="E73" s="325" t="str">
        <f>IF(Ablauf!C52="","",Ablauf!T52)</f>
        <v/>
      </c>
      <c r="F73" s="30"/>
      <c r="G73" s="30"/>
      <c r="H73" s="30"/>
      <c r="I73" s="30"/>
      <c r="J73" s="30"/>
      <c r="K73" s="30"/>
      <c r="L73" s="30"/>
      <c r="W73" s="45"/>
      <c r="X73" s="45"/>
      <c r="Y73" s="45"/>
    </row>
    <row r="74" spans="1:25" ht="15.75">
      <c r="A74" s="381" t="str">
        <f>IF(Ablauf!C53="","",Ablauf!A53)</f>
        <v/>
      </c>
      <c r="B74" s="379" t="str">
        <f>IF(Ablauf!C53="","",Ablauf!C53)</f>
        <v/>
      </c>
      <c r="C74" s="382" t="str">
        <f>IF(Ablauf!AA53="","",Ablauf!AA53&amp;" min")&amp;
IF(Ablauf!U53="",""," | "&amp;Ablauf!U53&amp;" m")&amp;
IF(Ablauf!V53="",""," | "&amp;Ablauf!V53)&amp;
IF(Ablauf!W53="",""," - "&amp;Ablauf!W53&amp;" kg")&amp;
IF(Ablauf!X53="",""," | "&amp;Ablauf!X53)&amp;
IF(Ablauf!Y53="",""," - "&amp;Ablauf!Y53&amp;" kg")&amp;
IF(Ablauf!Z53="",""," | "&amp;Ablauf!Z53&amp;" kg")&amp;
IF(Ablauf!D53="",""," | "&amp;Ablauf!D53)</f>
        <v/>
      </c>
      <c r="D74" s="325"/>
      <c r="E74" s="325" t="str">
        <f>IF(Ablauf!C53="","",Ablauf!T53)</f>
        <v/>
      </c>
      <c r="F74" s="30"/>
      <c r="G74" s="30"/>
      <c r="H74" s="30"/>
      <c r="I74" s="30"/>
      <c r="J74" s="30"/>
      <c r="K74" s="30"/>
      <c r="L74" s="30"/>
      <c r="W74" s="45"/>
      <c r="X74" s="45"/>
      <c r="Y74" s="45"/>
    </row>
    <row r="75" spans="1:25" ht="15.75">
      <c r="A75" s="381" t="str">
        <f>IF(Ablauf!C54="","",Ablauf!A54)</f>
        <v/>
      </c>
      <c r="B75" s="379" t="str">
        <f>IF(Ablauf!C54="","",Ablauf!C54)</f>
        <v/>
      </c>
      <c r="C75" s="382" t="str">
        <f>IF(Ablauf!AA54="","",Ablauf!AA54&amp;" min")&amp;
IF(Ablauf!U54="",""," | "&amp;Ablauf!U54&amp;" m")&amp;
IF(Ablauf!V54="",""," | "&amp;Ablauf!V54)&amp;
IF(Ablauf!W54="",""," - "&amp;Ablauf!W54&amp;" kg")&amp;
IF(Ablauf!X54="",""," | "&amp;Ablauf!X54)&amp;
IF(Ablauf!Y54="",""," - "&amp;Ablauf!Y54&amp;" kg")&amp;
IF(Ablauf!Z54="",""," | "&amp;Ablauf!Z54&amp;" kg")&amp;
IF(Ablauf!D54="",""," | "&amp;Ablauf!D54)</f>
        <v/>
      </c>
      <c r="D75" s="325"/>
      <c r="E75" s="325" t="str">
        <f>IF(Ablauf!C54="","",Ablauf!T54)</f>
        <v/>
      </c>
      <c r="F75" s="30"/>
      <c r="G75" s="30"/>
      <c r="H75" s="30"/>
      <c r="I75" s="30"/>
      <c r="J75" s="30"/>
      <c r="K75" s="30"/>
      <c r="L75" s="30"/>
      <c r="W75" s="45"/>
      <c r="X75" s="45"/>
      <c r="Y75" s="45"/>
    </row>
    <row r="76" spans="1:25" ht="15.75">
      <c r="A76" s="381" t="str">
        <f>IF(Ablauf!C55="","",Ablauf!A55)</f>
        <v/>
      </c>
      <c r="B76" s="379" t="str">
        <f>IF(Ablauf!C55="","",Ablauf!C55)</f>
        <v/>
      </c>
      <c r="C76" s="382" t="str">
        <f>IF(Ablauf!AA55="","",Ablauf!AA55&amp;" min")&amp;
IF(Ablauf!U55="",""," | "&amp;Ablauf!U55&amp;" m")&amp;
IF(Ablauf!V55="",""," | "&amp;Ablauf!V55)&amp;
IF(Ablauf!W55="",""," - "&amp;Ablauf!W55&amp;" kg")&amp;
IF(Ablauf!X55="",""," | "&amp;Ablauf!X55)&amp;
IF(Ablauf!Y55="",""," - "&amp;Ablauf!Y55&amp;" kg")&amp;
IF(Ablauf!Z55="",""," | "&amp;Ablauf!Z55&amp;" kg")&amp;
IF(Ablauf!D55="",""," | "&amp;Ablauf!D55)</f>
        <v/>
      </c>
      <c r="D76" s="325"/>
      <c r="E76" s="325" t="str">
        <f>IF(Ablauf!C55="","",Ablauf!T55)</f>
        <v/>
      </c>
      <c r="F76" s="30"/>
      <c r="G76" s="30"/>
      <c r="H76" s="30"/>
      <c r="I76" s="30"/>
      <c r="J76" s="30"/>
      <c r="K76" s="30"/>
      <c r="L76" s="30"/>
      <c r="W76" s="45"/>
      <c r="X76" s="45"/>
      <c r="Y76" s="45"/>
    </row>
    <row r="77" spans="1:25" ht="15.75">
      <c r="A77" s="381" t="str">
        <f>IF(Ablauf!C56="","",Ablauf!A56)</f>
        <v/>
      </c>
      <c r="B77" s="379" t="str">
        <f>IF(Ablauf!C56="","",Ablauf!C56)</f>
        <v/>
      </c>
      <c r="C77" s="382" t="str">
        <f>IF(Ablauf!AA56="","",Ablauf!AA56&amp;" min")&amp;
IF(Ablauf!U56="",""," | "&amp;Ablauf!U56&amp;" m")&amp;
IF(Ablauf!V56="",""," | "&amp;Ablauf!V56)&amp;
IF(Ablauf!W56="",""," - "&amp;Ablauf!W56&amp;" kg")&amp;
IF(Ablauf!X56="",""," | "&amp;Ablauf!X56)&amp;
IF(Ablauf!Y56="",""," - "&amp;Ablauf!Y56&amp;" kg")&amp;
IF(Ablauf!Z56="",""," | "&amp;Ablauf!Z56&amp;" kg")&amp;
IF(Ablauf!D56="",""," | "&amp;Ablauf!D56)</f>
        <v/>
      </c>
      <c r="D77" s="325"/>
      <c r="E77" s="325" t="str">
        <f>IF(Ablauf!C56="","",Ablauf!T56)</f>
        <v/>
      </c>
      <c r="F77" s="30"/>
      <c r="G77" s="30"/>
      <c r="H77" s="30"/>
      <c r="I77" s="30"/>
      <c r="J77" s="30"/>
      <c r="K77" s="30"/>
      <c r="L77" s="30"/>
      <c r="W77" s="45"/>
      <c r="X77" s="45"/>
      <c r="Y77" s="45"/>
    </row>
    <row r="78" spans="1:25" ht="15.75">
      <c r="A78" s="381" t="str">
        <f>IF(Ablauf!C57="","",Ablauf!A57)</f>
        <v/>
      </c>
      <c r="B78" s="379" t="str">
        <f>IF(Ablauf!C57="","",Ablauf!C57)</f>
        <v/>
      </c>
      <c r="C78" s="382" t="str">
        <f>IF(Ablauf!AA57="","",Ablauf!AA57&amp;" min")&amp;
IF(Ablauf!U57="",""," | "&amp;Ablauf!U57&amp;" m")&amp;
IF(Ablauf!V57="",""," | "&amp;Ablauf!V57)&amp;
IF(Ablauf!W57="",""," - "&amp;Ablauf!W57&amp;" kg")&amp;
IF(Ablauf!X57="",""," | "&amp;Ablauf!X57)&amp;
IF(Ablauf!Y57="",""," - "&amp;Ablauf!Y57&amp;" kg")&amp;
IF(Ablauf!Z57="",""," | "&amp;Ablauf!Z57&amp;" kg")&amp;
IF(Ablauf!D57="",""," | "&amp;Ablauf!D57)</f>
        <v/>
      </c>
      <c r="D78" s="325"/>
      <c r="E78" s="325" t="str">
        <f>IF(Ablauf!C57="","",Ablauf!T57)</f>
        <v/>
      </c>
      <c r="F78" s="30"/>
      <c r="G78" s="30"/>
      <c r="H78" s="30"/>
      <c r="I78" s="30"/>
      <c r="J78" s="30"/>
      <c r="K78" s="30"/>
      <c r="L78" s="30"/>
      <c r="W78" s="45"/>
      <c r="X78" s="45"/>
      <c r="Y78" s="45"/>
    </row>
    <row r="79" spans="1:25" ht="15.75">
      <c r="A79" s="381" t="str">
        <f>IF(Ablauf!C58="","",Ablauf!A58)</f>
        <v/>
      </c>
      <c r="B79" s="379" t="str">
        <f>IF(Ablauf!C58="","",Ablauf!C58)</f>
        <v/>
      </c>
      <c r="C79" s="382" t="str">
        <f>IF(Ablauf!AA58="","",Ablauf!AA58&amp;" min")&amp;
IF(Ablauf!U58="",""," | "&amp;Ablauf!U58&amp;" m")&amp;
IF(Ablauf!V58="",""," | "&amp;Ablauf!V58)&amp;
IF(Ablauf!W58="",""," - "&amp;Ablauf!W58&amp;" kg")&amp;
IF(Ablauf!X58="",""," | "&amp;Ablauf!X58)&amp;
IF(Ablauf!Y58="",""," - "&amp;Ablauf!Y58&amp;" kg")&amp;
IF(Ablauf!Z58="",""," | "&amp;Ablauf!Z58&amp;" kg")&amp;
IF(Ablauf!D58="",""," | "&amp;Ablauf!D58)</f>
        <v/>
      </c>
      <c r="D79" s="325"/>
      <c r="E79" s="325" t="str">
        <f>IF(Ablauf!C58="","",Ablauf!T58)</f>
        <v/>
      </c>
      <c r="F79" s="30"/>
      <c r="G79" s="30"/>
      <c r="H79" s="30"/>
      <c r="I79" s="30"/>
      <c r="J79" s="30"/>
      <c r="K79" s="30"/>
      <c r="L79" s="30"/>
      <c r="W79" s="45"/>
      <c r="X79" s="45"/>
      <c r="Y79" s="45"/>
    </row>
    <row r="80" spans="1:25" ht="15.75">
      <c r="A80" s="381" t="str">
        <f>IF(Ablauf!C59="","",Ablauf!A59)</f>
        <v/>
      </c>
      <c r="B80" s="379" t="str">
        <f>IF(Ablauf!C59="","",Ablauf!C59)</f>
        <v/>
      </c>
      <c r="C80" s="382" t="str">
        <f>IF(Ablauf!AA59="","",Ablauf!AA59&amp;" min")&amp;
IF(Ablauf!U59="",""," | "&amp;Ablauf!U59&amp;" m")&amp;
IF(Ablauf!V59="",""," | "&amp;Ablauf!V59)&amp;
IF(Ablauf!W59="",""," - "&amp;Ablauf!W59&amp;" kg")&amp;
IF(Ablauf!X59="",""," | "&amp;Ablauf!X59)&amp;
IF(Ablauf!Y59="",""," - "&amp;Ablauf!Y59&amp;" kg")&amp;
IF(Ablauf!Z59="",""," | "&amp;Ablauf!Z59&amp;" kg")&amp;
IF(Ablauf!D59="",""," | "&amp;Ablauf!D59)</f>
        <v/>
      </c>
      <c r="D80" s="325"/>
      <c r="E80" s="325" t="str">
        <f>IF(Ablauf!C59="","",Ablauf!T59)</f>
        <v/>
      </c>
      <c r="F80" s="30"/>
      <c r="G80" s="30"/>
      <c r="H80" s="30"/>
      <c r="I80" s="30"/>
      <c r="J80" s="30"/>
      <c r="K80" s="30"/>
      <c r="L80" s="30"/>
      <c r="W80" s="45"/>
      <c r="X80" s="45"/>
      <c r="Y80" s="45"/>
    </row>
    <row r="81" spans="1:25" ht="15.75">
      <c r="A81" s="381" t="str">
        <f>IF(Ablauf!C60="","",Ablauf!A60)</f>
        <v/>
      </c>
      <c r="B81" s="379" t="str">
        <f>IF(Ablauf!C60="","",Ablauf!C60)</f>
        <v/>
      </c>
      <c r="C81" s="382" t="str">
        <f>IF(Ablauf!AA60="","",Ablauf!AA60&amp;" min")&amp;
IF(Ablauf!U60="",""," | "&amp;Ablauf!U60&amp;" m")&amp;
IF(Ablauf!V60="",""," | "&amp;Ablauf!V60)&amp;
IF(Ablauf!W60="",""," - "&amp;Ablauf!W60&amp;" kg")&amp;
IF(Ablauf!X60="",""," | "&amp;Ablauf!X60)&amp;
IF(Ablauf!Y60="",""," - "&amp;Ablauf!Y60&amp;" kg")&amp;
IF(Ablauf!Z60="",""," | "&amp;Ablauf!Z60&amp;" kg")&amp;
IF(Ablauf!D60="",""," | "&amp;Ablauf!D60)</f>
        <v/>
      </c>
      <c r="D81" s="325"/>
      <c r="E81" s="325" t="str">
        <f>IF(Ablauf!C60="","",Ablauf!T60)</f>
        <v/>
      </c>
      <c r="F81" s="30"/>
      <c r="G81" s="30"/>
      <c r="H81" s="30"/>
      <c r="I81" s="30"/>
      <c r="J81" s="30"/>
      <c r="K81" s="30"/>
      <c r="L81" s="30"/>
      <c r="W81" s="45"/>
      <c r="X81" s="45"/>
      <c r="Y81" s="45"/>
    </row>
    <row r="82" spans="1:25" ht="15.75">
      <c r="A82" s="381" t="str">
        <f>IF(Ablauf!C61="","",Ablauf!A61)</f>
        <v/>
      </c>
      <c r="B82" s="379" t="str">
        <f>IF(Ablauf!C61="","",Ablauf!C61)</f>
        <v/>
      </c>
      <c r="C82" s="382" t="str">
        <f>IF(Ablauf!AA61="","",Ablauf!AA61&amp;" min")&amp;
IF(Ablauf!U61="",""," | "&amp;Ablauf!U61&amp;" m")&amp;
IF(Ablauf!V61="",""," | "&amp;Ablauf!V61)&amp;
IF(Ablauf!W61="",""," - "&amp;Ablauf!W61&amp;" kg")&amp;
IF(Ablauf!X61="",""," | "&amp;Ablauf!X61)&amp;
IF(Ablauf!Y61="",""," - "&amp;Ablauf!Y61&amp;" kg")&amp;
IF(Ablauf!Z61="",""," | "&amp;Ablauf!Z61&amp;" kg")&amp;
IF(Ablauf!D61="",""," | "&amp;Ablauf!D61)</f>
        <v/>
      </c>
      <c r="D82" s="325"/>
      <c r="E82" s="325" t="str">
        <f>IF(Ablauf!C61="","",Ablauf!T61)</f>
        <v/>
      </c>
      <c r="F82" s="30"/>
      <c r="G82" s="30"/>
      <c r="H82" s="30"/>
      <c r="I82" s="30"/>
      <c r="J82" s="30"/>
      <c r="K82" s="30"/>
      <c r="L82" s="30"/>
      <c r="W82" s="45"/>
      <c r="X82" s="45"/>
      <c r="Y82" s="45"/>
    </row>
    <row r="83" spans="1:25" ht="15.75">
      <c r="A83" s="383" t="str">
        <f>IF(Ablauf!C62="","",Ablauf!A62)</f>
        <v/>
      </c>
      <c r="B83" s="384" t="str">
        <f>IF(Ablauf!C62="","",Ablauf!C62)</f>
        <v/>
      </c>
      <c r="C83" s="385" t="str">
        <f>IF(Ablauf!AA62="","",Ablauf!AA62&amp;" min")&amp;
IF(Ablauf!U62="",""," | "&amp;Ablauf!U62&amp;" m")&amp;
IF(Ablauf!V62="",""," | "&amp;Ablauf!V62)&amp;
IF(Ablauf!W62="",""," - "&amp;Ablauf!W62&amp;" kg")&amp;
IF(Ablauf!X62="",""," | "&amp;Ablauf!X62)&amp;
IF(Ablauf!Y62="",""," - "&amp;Ablauf!Y62&amp;" kg")&amp;
IF(Ablauf!Z62="",""," | "&amp;Ablauf!Z62&amp;" kg")&amp;
IF(Ablauf!D62="",""," | "&amp;Ablauf!D62)</f>
        <v/>
      </c>
      <c r="D83" s="386"/>
      <c r="E83" s="386" t="str">
        <f>IF(Ablauf!C62="","",Ablauf!T62)</f>
        <v/>
      </c>
    </row>
    <row r="84" spans="1:25">
      <c r="A84" s="387"/>
      <c r="B84" s="388"/>
      <c r="C84" s="388"/>
      <c r="D84" s="388"/>
      <c r="E84" s="388"/>
      <c r="F84" s="388"/>
      <c r="G84" s="327"/>
      <c r="H84" s="327"/>
      <c r="I84" s="327"/>
    </row>
    <row r="85" spans="1:25">
      <c r="A85" s="387"/>
      <c r="B85" s="388"/>
      <c r="C85" s="352"/>
      <c r="D85" s="352"/>
      <c r="E85" s="352"/>
      <c r="F85" s="352"/>
      <c r="G85" s="352"/>
      <c r="H85" s="352"/>
      <c r="I85" s="389"/>
    </row>
    <row r="86" spans="1:25">
      <c r="A86" s="387"/>
      <c r="B86" s="387"/>
      <c r="C86" s="387"/>
      <c r="D86" s="387"/>
      <c r="E86" s="387"/>
      <c r="F86" s="387"/>
      <c r="G86" s="390"/>
      <c r="H86" s="390"/>
      <c r="I86" s="390"/>
    </row>
    <row r="87" spans="1:25">
      <c r="A87" s="387"/>
      <c r="B87" s="387"/>
      <c r="C87" s="387"/>
      <c r="D87" s="387"/>
      <c r="E87" s="387"/>
      <c r="F87" s="387"/>
      <c r="G87" s="390"/>
      <c r="H87" s="390"/>
      <c r="I87" s="390"/>
    </row>
    <row r="88" spans="1:25">
      <c r="A88" s="387"/>
      <c r="B88" s="387"/>
      <c r="C88" s="387"/>
      <c r="D88" s="387"/>
      <c r="E88" s="387"/>
      <c r="F88" s="387"/>
      <c r="G88" s="390"/>
      <c r="H88" s="390"/>
      <c r="I88" s="390"/>
    </row>
  </sheetData>
  <mergeCells count="33">
    <mergeCell ref="C40:D40"/>
    <mergeCell ref="A21:C21"/>
    <mergeCell ref="A18:C18"/>
    <mergeCell ref="A19:C19"/>
    <mergeCell ref="A20:C20"/>
    <mergeCell ref="A30:E30"/>
    <mergeCell ref="A33:E33"/>
    <mergeCell ref="D38:E38"/>
    <mergeCell ref="A23:C23"/>
    <mergeCell ref="A24:C24"/>
    <mergeCell ref="A35:B35"/>
    <mergeCell ref="A36:B36"/>
    <mergeCell ref="A25:C25"/>
    <mergeCell ref="A26:C26"/>
    <mergeCell ref="A15:B15"/>
    <mergeCell ref="A12:B12"/>
    <mergeCell ref="A13:B13"/>
    <mergeCell ref="A14:B14"/>
    <mergeCell ref="A10:B10"/>
    <mergeCell ref="E1:E2"/>
    <mergeCell ref="C4:E4"/>
    <mergeCell ref="C11:E11"/>
    <mergeCell ref="D9:E9"/>
    <mergeCell ref="A3:B3"/>
    <mergeCell ref="A4:B4"/>
    <mergeCell ref="A5:B6"/>
    <mergeCell ref="A7:B7"/>
    <mergeCell ref="A8:B8"/>
    <mergeCell ref="C14:E14"/>
    <mergeCell ref="C13:E13"/>
    <mergeCell ref="C12:E12"/>
    <mergeCell ref="A9:B9"/>
    <mergeCell ref="A11:B11"/>
  </mergeCells>
  <phoneticPr fontId="13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7" orientation="portrait" r:id="rId1"/>
  <headerFooter>
    <oddHeader>&amp;L&amp;D  &amp;" ,Standard"&amp;T</oddHeader>
    <oddFooter>&amp;A&amp;RSeite &amp;P</oddFooter>
  </headerFooter>
  <rowBreaks count="1" manualBreakCount="1">
    <brk id="37" max="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H110"/>
  <sheetViews>
    <sheetView view="pageBreakPreview" zoomScaleNormal="100" zoomScaleSheetLayoutView="100" workbookViewId="0">
      <selection activeCell="O28" sqref="O28:T28"/>
    </sheetView>
  </sheetViews>
  <sheetFormatPr baseColWidth="10" defaultRowHeight="12.75"/>
  <cols>
    <col min="1" max="4" width="5.85546875" customWidth="1"/>
    <col min="5" max="5" width="5.85546875" style="125" customWidth="1"/>
    <col min="6" max="6" width="5.85546875" style="1" customWidth="1"/>
    <col min="7" max="32" width="5.85546875" customWidth="1"/>
    <col min="33" max="34" width="11.42578125" hidden="1" customWidth="1"/>
    <col min="35" max="36" width="0" hidden="1" customWidth="1"/>
  </cols>
  <sheetData>
    <row r="1" spans="1:34" s="1" customFormat="1" ht="25.5" customHeight="1">
      <c r="A1" s="581" t="str">
        <f>"FP "&amp;LEFT(Ablauf!AD13,6)&amp;" "&amp;RIGHT(AH5,3)</f>
        <v>FP Testge 001</v>
      </c>
      <c r="B1" s="581"/>
      <c r="C1" s="581"/>
      <c r="D1" s="581"/>
      <c r="E1" s="581"/>
      <c r="F1" s="581"/>
      <c r="G1" s="581"/>
      <c r="H1" s="581"/>
      <c r="I1" s="579" t="str">
        <f>A4</f>
        <v>BTN Kunde</v>
      </c>
      <c r="J1" s="579"/>
      <c r="K1" s="578" t="str">
        <f>code128(C4)</f>
        <v>ÑTestnummerQÓ</v>
      </c>
      <c r="L1" s="578"/>
      <c r="M1" s="578"/>
      <c r="N1" s="578"/>
      <c r="O1" s="578"/>
      <c r="P1" s="578"/>
      <c r="Q1" s="578"/>
      <c r="R1" s="578"/>
      <c r="S1" s="578"/>
      <c r="T1" s="578"/>
      <c r="U1" s="580" t="str">
        <f>A5</f>
        <v>BTN LSK</v>
      </c>
      <c r="V1" s="580"/>
      <c r="W1" s="577" t="str">
        <f>code128(C5)</f>
        <v>Ò5H ÍTESTES001ÍÓ</v>
      </c>
      <c r="X1" s="577"/>
      <c r="Y1" s="577"/>
      <c r="Z1" s="577"/>
      <c r="AA1" s="577"/>
      <c r="AB1" s="577"/>
      <c r="AC1" s="577"/>
      <c r="AD1" s="577"/>
      <c r="AE1" s="577"/>
      <c r="AF1" s="577"/>
    </row>
    <row r="2" spans="1:34" s="1" customFormat="1" ht="22.5" customHeight="1">
      <c r="A2" s="581"/>
      <c r="B2" s="581"/>
      <c r="C2" s="581"/>
      <c r="D2" s="581"/>
      <c r="E2" s="581"/>
      <c r="F2" s="581"/>
      <c r="G2" s="581"/>
      <c r="H2" s="581"/>
      <c r="I2" s="579"/>
      <c r="J2" s="579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80"/>
      <c r="V2" s="580"/>
      <c r="W2" s="577"/>
      <c r="X2" s="577"/>
      <c r="Y2" s="577"/>
      <c r="Z2" s="577"/>
      <c r="AA2" s="577"/>
      <c r="AB2" s="577"/>
      <c r="AC2" s="577"/>
      <c r="AD2" s="577"/>
      <c r="AE2" s="577"/>
      <c r="AF2" s="577"/>
    </row>
    <row r="3" spans="1:34" s="255" customFormat="1" ht="10.5" customHeight="1">
      <c r="V3" s="425"/>
      <c r="W3" s="425"/>
      <c r="X3" s="425"/>
      <c r="Y3" s="425"/>
      <c r="Z3" s="425"/>
      <c r="AA3" s="425"/>
      <c r="AB3" s="425"/>
      <c r="AC3" s="425"/>
      <c r="AD3" s="425"/>
      <c r="AE3" s="425"/>
      <c r="AF3" s="425"/>
      <c r="AG3" s="255" t="s">
        <v>345</v>
      </c>
      <c r="AH3" s="255">
        <f>IF(zaehler="",1001,1000+zaehler)</f>
        <v>1001</v>
      </c>
    </row>
    <row r="4" spans="1:34" s="255" customFormat="1" ht="22.5" customHeight="1">
      <c r="A4" s="527" t="s">
        <v>346</v>
      </c>
      <c r="B4" s="527"/>
      <c r="C4" s="576" t="str">
        <f>IF(Ablauf!AD7="","",Ablauf!AD7)</f>
        <v>Testnummer</v>
      </c>
      <c r="D4" s="576"/>
      <c r="E4" s="576"/>
      <c r="F4" s="576"/>
      <c r="G4" s="576"/>
      <c r="I4" s="527" t="s">
        <v>123</v>
      </c>
      <c r="J4" s="527"/>
      <c r="K4" s="527"/>
      <c r="L4" s="351"/>
      <c r="M4" s="573">
        <f>FA!C8</f>
        <v>41640</v>
      </c>
      <c r="N4" s="573"/>
      <c r="O4" s="573"/>
      <c r="P4" s="573"/>
      <c r="R4" s="263"/>
      <c r="S4" s="263"/>
      <c r="T4" s="263"/>
      <c r="AG4" s="255" t="s">
        <v>304</v>
      </c>
      <c r="AH4" s="255">
        <f>IF(zaehler="",1000+Menge,1000+zaehler)</f>
        <v>1001</v>
      </c>
    </row>
    <row r="5" spans="1:34" s="255" customFormat="1" ht="22.5" customHeight="1">
      <c r="A5" s="575" t="s">
        <v>347</v>
      </c>
      <c r="B5" s="575"/>
      <c r="C5" s="507" t="str">
        <f>FA!C9&amp;RIGHT(AH5,3)</f>
        <v>214000TESTES001</v>
      </c>
      <c r="D5" s="507"/>
      <c r="E5" s="507"/>
      <c r="F5" s="507"/>
      <c r="G5" s="507"/>
      <c r="I5" s="527" t="s">
        <v>96</v>
      </c>
      <c r="J5" s="527"/>
      <c r="K5" s="527"/>
      <c r="L5" s="351"/>
      <c r="M5" s="573">
        <f>FA!E8</f>
        <v>41640</v>
      </c>
      <c r="N5" s="573"/>
      <c r="O5" s="573"/>
      <c r="P5" s="573"/>
      <c r="AG5" s="255" t="s">
        <v>303</v>
      </c>
      <c r="AH5" s="255">
        <v>1001</v>
      </c>
    </row>
    <row r="6" spans="1:34" s="255" customFormat="1" ht="10.5" customHeight="1">
      <c r="I6" s="527"/>
      <c r="J6" s="527"/>
      <c r="K6" s="527"/>
      <c r="L6" s="351"/>
      <c r="S6" s="256"/>
    </row>
    <row r="7" spans="1:34" s="30" customFormat="1" ht="22.5" customHeight="1">
      <c r="A7" s="288" t="s">
        <v>82</v>
      </c>
      <c r="B7" s="259"/>
      <c r="C7" s="259"/>
      <c r="D7" s="260"/>
      <c r="E7" s="260"/>
      <c r="F7" s="261"/>
      <c r="G7" s="261"/>
      <c r="H7" s="261"/>
      <c r="I7" s="261"/>
      <c r="J7" s="261"/>
      <c r="K7" s="261"/>
      <c r="L7" s="261"/>
      <c r="M7" s="259"/>
      <c r="N7" s="261"/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0"/>
      <c r="Z7" s="260"/>
      <c r="AA7" s="260"/>
      <c r="AB7" s="260"/>
      <c r="AC7" s="260"/>
      <c r="AD7" s="260"/>
      <c r="AE7" s="260"/>
      <c r="AF7" s="260"/>
    </row>
    <row r="8" spans="1:34" s="289" customFormat="1" ht="22.5" customHeight="1">
      <c r="A8" s="533" t="s">
        <v>339</v>
      </c>
      <c r="B8" s="534"/>
      <c r="C8" s="534"/>
      <c r="D8" s="535"/>
      <c r="E8" s="533" t="s">
        <v>335</v>
      </c>
      <c r="F8" s="534"/>
      <c r="G8" s="534"/>
      <c r="H8" s="535"/>
      <c r="I8" s="533" t="s">
        <v>336</v>
      </c>
      <c r="J8" s="534"/>
      <c r="K8" s="534"/>
      <c r="L8" s="535"/>
      <c r="M8" s="533" t="s">
        <v>340</v>
      </c>
      <c r="N8" s="534"/>
      <c r="O8" s="534"/>
      <c r="P8" s="535"/>
      <c r="Q8" s="533" t="s">
        <v>337</v>
      </c>
      <c r="R8" s="534"/>
      <c r="S8" s="534"/>
      <c r="T8" s="535"/>
      <c r="U8" s="533" t="s">
        <v>338</v>
      </c>
      <c r="V8" s="534"/>
      <c r="W8" s="534"/>
      <c r="X8" s="535"/>
      <c r="Y8" s="533" t="s">
        <v>342</v>
      </c>
      <c r="Z8" s="534"/>
      <c r="AA8" s="534"/>
      <c r="AB8" s="535"/>
      <c r="AC8" s="533" t="s">
        <v>341</v>
      </c>
      <c r="AD8" s="534"/>
      <c r="AE8" s="534"/>
      <c r="AF8" s="535"/>
    </row>
    <row r="9" spans="1:34" s="30" customFormat="1" ht="48.75" customHeight="1">
      <c r="A9" s="408"/>
      <c r="B9" s="409"/>
      <c r="C9" s="409"/>
      <c r="D9" s="410"/>
      <c r="E9" s="411"/>
      <c r="F9" s="411"/>
      <c r="G9" s="411"/>
      <c r="H9" s="412"/>
      <c r="I9" s="411"/>
      <c r="J9" s="411"/>
      <c r="K9" s="411"/>
      <c r="L9" s="412"/>
      <c r="M9" s="411"/>
      <c r="N9" s="411"/>
      <c r="O9" s="411"/>
      <c r="P9" s="412"/>
      <c r="Q9" s="411"/>
      <c r="R9" s="413"/>
      <c r="S9" s="413"/>
      <c r="T9" s="414"/>
      <c r="U9" s="411"/>
      <c r="V9" s="413"/>
      <c r="W9" s="413"/>
      <c r="X9" s="414"/>
      <c r="Y9" s="415"/>
      <c r="Z9" s="413"/>
      <c r="AA9" s="413"/>
      <c r="AB9" s="414"/>
      <c r="AC9" s="416"/>
      <c r="AD9" s="417"/>
      <c r="AE9" s="417"/>
      <c r="AF9" s="418"/>
    </row>
    <row r="10" spans="1:34" s="30" customFormat="1" ht="26.25" customHeight="1">
      <c r="A10" s="394"/>
      <c r="B10" s="395"/>
      <c r="C10" s="395"/>
      <c r="D10" s="396"/>
      <c r="E10" s="397" t="s">
        <v>157</v>
      </c>
      <c r="F10" s="397"/>
      <c r="G10" s="397"/>
      <c r="H10" s="398"/>
      <c r="I10" s="397" t="s">
        <v>157</v>
      </c>
      <c r="J10" s="397"/>
      <c r="K10" s="397"/>
      <c r="L10" s="398"/>
      <c r="M10" s="397" t="s">
        <v>157</v>
      </c>
      <c r="N10" s="397"/>
      <c r="O10" s="397"/>
      <c r="P10" s="398"/>
      <c r="Q10" s="397" t="s">
        <v>157</v>
      </c>
      <c r="R10" s="399"/>
      <c r="S10" s="399"/>
      <c r="T10" s="400"/>
      <c r="U10" s="401" t="s">
        <v>157</v>
      </c>
      <c r="V10" s="402"/>
      <c r="W10" s="402"/>
      <c r="X10" s="403"/>
      <c r="Y10" s="404" t="s">
        <v>157</v>
      </c>
      <c r="Z10" s="399"/>
      <c r="AA10" s="399"/>
      <c r="AB10" s="400"/>
      <c r="AC10" s="405" t="s">
        <v>157</v>
      </c>
      <c r="AD10" s="406"/>
      <c r="AE10" s="406"/>
      <c r="AF10" s="407"/>
    </row>
    <row r="11" spans="1:34" s="262" customFormat="1" ht="10.5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s="421"/>
      <c r="R11" s="421"/>
      <c r="S11" s="421"/>
      <c r="T11" s="422"/>
      <c r="U11" s="1"/>
      <c r="V11" s="1"/>
      <c r="W11" s="1"/>
      <c r="X11" s="1"/>
      <c r="Y11" s="420"/>
      <c r="Z11"/>
      <c r="AA11"/>
      <c r="AB11"/>
      <c r="AC11"/>
      <c r="AD11"/>
      <c r="AE11"/>
      <c r="AF11"/>
    </row>
    <row r="12" spans="1:34" s="264" customFormat="1" ht="22.5" customHeight="1">
      <c r="A12" s="528" t="str">
        <f>FA!A12</f>
        <v>Dateiablage</v>
      </c>
      <c r="B12" s="528"/>
      <c r="C12" s="528"/>
      <c r="D12" s="528"/>
      <c r="E12" s="531" t="str">
        <f>FA!H2</f>
        <v>X:\auftragsmanagement\Testkunde\140101_Testgegenstand</v>
      </c>
      <c r="F12" s="531"/>
      <c r="G12" s="531"/>
      <c r="H12" s="531"/>
      <c r="I12" s="531"/>
      <c r="J12" s="531"/>
      <c r="K12" s="531"/>
      <c r="L12" s="531"/>
      <c r="M12" s="531"/>
      <c r="N12" s="531"/>
      <c r="O12" s="532"/>
      <c r="P12" s="267"/>
      <c r="Q12" s="529" t="s">
        <v>102</v>
      </c>
      <c r="R12" s="530"/>
      <c r="S12" s="530"/>
      <c r="T12" s="530"/>
      <c r="U12" s="284"/>
      <c r="V12" s="285" t="s">
        <v>309</v>
      </c>
      <c r="W12" s="284"/>
      <c r="X12" s="285" t="s">
        <v>310</v>
      </c>
      <c r="Y12" s="286"/>
      <c r="Z12" s="287"/>
      <c r="AA12" s="271"/>
      <c r="AB12" s="271"/>
      <c r="AC12" s="271"/>
      <c r="AD12" s="271"/>
      <c r="AE12" s="271"/>
      <c r="AF12" s="272"/>
    </row>
    <row r="13" spans="1:34" s="264" customFormat="1" ht="10.5" customHeight="1">
      <c r="K13" s="217"/>
      <c r="L13" s="217"/>
      <c r="M13" s="217"/>
      <c r="N13" s="217"/>
      <c r="O13" s="217"/>
      <c r="P13" s="217"/>
      <c r="Q13" s="291" t="s">
        <v>318</v>
      </c>
      <c r="R13" s="292"/>
      <c r="S13" s="292"/>
      <c r="T13" s="292"/>
      <c r="U13" s="147"/>
      <c r="V13" s="147"/>
      <c r="W13" s="147"/>
      <c r="X13" s="147"/>
      <c r="Y13" s="147"/>
      <c r="Z13" s="255"/>
      <c r="AA13" s="255"/>
      <c r="AB13" s="255"/>
      <c r="AC13" s="255"/>
      <c r="AD13" s="255"/>
      <c r="AE13" s="255"/>
      <c r="AF13" s="273"/>
    </row>
    <row r="14" spans="1:34" s="217" customFormat="1" ht="22.5" customHeight="1">
      <c r="A14" s="419" t="s">
        <v>311</v>
      </c>
      <c r="B14" s="419"/>
      <c r="C14" s="419" t="s">
        <v>312</v>
      </c>
      <c r="D14" s="419"/>
      <c r="E14" s="543">
        <f>SUM(Ablauf!S20:S59)</f>
        <v>17.547815384615387</v>
      </c>
      <c r="F14" s="543"/>
      <c r="G14" s="543"/>
      <c r="H14" s="544"/>
      <c r="I14" s="542" t="s">
        <v>313</v>
      </c>
      <c r="J14" s="541"/>
      <c r="K14" s="545"/>
      <c r="L14" s="545"/>
      <c r="M14" s="545"/>
      <c r="N14" s="545"/>
      <c r="O14" s="546"/>
      <c r="Q14" s="291"/>
      <c r="AD14" s="255"/>
      <c r="AE14" s="255"/>
      <c r="AF14" s="273"/>
    </row>
    <row r="15" spans="1:34" s="217" customFormat="1" ht="10.5" customHeight="1">
      <c r="A15" s="283"/>
      <c r="B15" s="283"/>
      <c r="C15" s="283"/>
      <c r="D15" s="283"/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Q15" s="276"/>
      <c r="AF15" s="295"/>
    </row>
    <row r="16" spans="1:34" s="217" customFormat="1" ht="22.5" customHeight="1">
      <c r="A16" s="541" t="s">
        <v>314</v>
      </c>
      <c r="B16" s="541"/>
      <c r="C16" s="541"/>
      <c r="D16" s="541"/>
      <c r="E16" s="539" t="str">
        <f>Ablauf!D5</f>
        <v>RAL 7218</v>
      </c>
      <c r="F16" s="539"/>
      <c r="G16" s="539"/>
      <c r="H16" s="540"/>
      <c r="I16" s="542" t="s">
        <v>315</v>
      </c>
      <c r="J16" s="541"/>
      <c r="K16" s="541"/>
      <c r="L16" s="539" t="str">
        <f>Ablauf!D7</f>
        <v>natur</v>
      </c>
      <c r="M16" s="539"/>
      <c r="N16" s="539"/>
      <c r="O16" s="540"/>
      <c r="Q16" s="293"/>
      <c r="R16" s="294"/>
      <c r="S16" s="294"/>
      <c r="T16" s="294"/>
      <c r="U16" s="270"/>
      <c r="V16" s="270"/>
      <c r="W16" s="270"/>
      <c r="X16" s="270"/>
      <c r="Y16" s="270"/>
      <c r="Z16" s="270"/>
      <c r="AA16" s="270"/>
      <c r="AB16" s="270"/>
      <c r="AC16" s="269"/>
      <c r="AD16" s="269"/>
      <c r="AE16" s="269"/>
      <c r="AF16" s="274"/>
    </row>
    <row r="17" spans="1:32" s="217" customFormat="1" ht="10.5" customHeight="1">
      <c r="B17" s="265"/>
      <c r="C17" s="265"/>
      <c r="D17" s="265"/>
      <c r="E17" s="266"/>
      <c r="F17" s="265"/>
      <c r="G17" s="265"/>
      <c r="H17" s="265"/>
      <c r="I17" s="265"/>
      <c r="J17" s="265"/>
      <c r="K17" s="265"/>
      <c r="L17" s="265"/>
      <c r="M17" s="265"/>
      <c r="N17" s="265"/>
    </row>
    <row r="18" spans="1:32" s="30" customFormat="1" ht="22.5" customHeight="1">
      <c r="A18" s="288" t="s">
        <v>137</v>
      </c>
      <c r="B18" s="259"/>
      <c r="C18" s="259"/>
      <c r="D18" s="260"/>
      <c r="E18" s="260"/>
      <c r="F18" s="261"/>
      <c r="G18" s="261"/>
      <c r="H18" s="261"/>
      <c r="I18" s="261"/>
      <c r="J18" s="261"/>
      <c r="K18" s="261"/>
      <c r="L18" s="261"/>
      <c r="M18" s="259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0"/>
      <c r="Z18" s="260"/>
      <c r="AA18" s="260"/>
      <c r="AB18" s="260"/>
      <c r="AC18" s="260"/>
      <c r="AD18" s="260"/>
      <c r="AE18" s="260"/>
      <c r="AF18" s="260"/>
    </row>
    <row r="19" spans="1:32" s="290" customFormat="1" ht="22.5" customHeight="1">
      <c r="A19" s="290" t="s">
        <v>316</v>
      </c>
      <c r="B19" s="536" t="s">
        <v>132</v>
      </c>
      <c r="C19" s="536"/>
      <c r="D19" s="537" t="s">
        <v>321</v>
      </c>
      <c r="E19" s="537"/>
      <c r="F19" s="302" t="s">
        <v>317</v>
      </c>
      <c r="G19" s="302"/>
      <c r="H19" s="302"/>
      <c r="I19" s="302"/>
      <c r="J19" s="302"/>
      <c r="K19" s="302"/>
      <c r="L19" s="302"/>
      <c r="M19" s="536" t="s">
        <v>213</v>
      </c>
      <c r="N19" s="536"/>
      <c r="O19" s="537" t="s">
        <v>65</v>
      </c>
      <c r="P19" s="537"/>
      <c r="Q19" s="537"/>
      <c r="R19" s="537"/>
      <c r="S19" s="537"/>
      <c r="T19" s="537"/>
      <c r="U19" s="572" t="s">
        <v>319</v>
      </c>
      <c r="V19" s="572"/>
      <c r="W19" s="572"/>
      <c r="X19" s="572"/>
      <c r="Y19" s="567" t="s">
        <v>67</v>
      </c>
      <c r="Z19" s="567"/>
      <c r="AA19" s="567"/>
      <c r="AB19" s="567"/>
      <c r="AC19" s="567"/>
      <c r="AD19" s="567"/>
      <c r="AE19" s="567"/>
      <c r="AF19" s="567"/>
    </row>
    <row r="20" spans="1:32" s="304" customFormat="1" ht="27.75" customHeight="1">
      <c r="A20" s="303">
        <v>1</v>
      </c>
      <c r="B20" s="547" t="s">
        <v>33</v>
      </c>
      <c r="C20" s="547"/>
      <c r="D20" s="538" t="str">
        <f>INDEX(Stammdaten!A81:A106,MATCH(F20,Stammdaten!C81:C106,0))</f>
        <v>M01</v>
      </c>
      <c r="E20" s="538"/>
      <c r="F20" s="562" t="str">
        <f>Harztyp</f>
        <v>UP-Harz</v>
      </c>
      <c r="G20" s="562"/>
      <c r="H20" s="562"/>
      <c r="I20" s="562"/>
      <c r="J20" s="562"/>
      <c r="K20" s="562"/>
      <c r="L20" s="562"/>
      <c r="M20" s="550">
        <f>SUM(Ablauf!R20:R59)</f>
        <v>11.147815384615383</v>
      </c>
      <c r="N20" s="550"/>
      <c r="O20" s="557"/>
      <c r="P20" s="557"/>
      <c r="Q20" s="557"/>
      <c r="R20" s="557"/>
      <c r="S20" s="557"/>
      <c r="T20" s="557"/>
      <c r="U20" s="549"/>
      <c r="V20" s="549"/>
      <c r="W20" s="549"/>
      <c r="X20" s="549"/>
      <c r="Y20" s="549"/>
      <c r="Z20" s="549"/>
      <c r="AA20" s="549"/>
      <c r="AB20" s="549"/>
      <c r="AC20" s="549"/>
      <c r="AD20" s="549"/>
      <c r="AE20" s="549"/>
      <c r="AF20" s="549"/>
    </row>
    <row r="21" spans="1:32" s="304" customFormat="1" ht="27.75" customHeight="1">
      <c r="A21" s="305">
        <v>2</v>
      </c>
      <c r="B21" s="547" t="s">
        <v>124</v>
      </c>
      <c r="C21" s="547"/>
      <c r="D21" s="538" t="str">
        <f>INDEX(Stammdaten!A69:A79,MATCH(Ablauf!D4,Stammdaten!C69:C79,0))</f>
        <v>C01</v>
      </c>
      <c r="E21" s="538"/>
      <c r="F21" s="562" t="str">
        <f>Ablauf!D4&amp;" "&amp;Ablauf!D5</f>
        <v>Gel-Coat spritzfähig RAL 7218</v>
      </c>
      <c r="G21" s="562"/>
      <c r="H21" s="562"/>
      <c r="I21" s="562"/>
      <c r="J21" s="562"/>
      <c r="K21" s="562"/>
      <c r="L21" s="562"/>
      <c r="M21" s="551">
        <f>SUM(Ablauf!W20:W59)</f>
        <v>0.64000000000000012</v>
      </c>
      <c r="N21" s="551"/>
      <c r="O21" s="553"/>
      <c r="P21" s="553"/>
      <c r="Q21" s="553"/>
      <c r="R21" s="553"/>
      <c r="S21" s="553"/>
      <c r="T21" s="553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</row>
    <row r="22" spans="1:32" s="306" customFormat="1" ht="27.75" customHeight="1" thickBot="1">
      <c r="A22" s="307">
        <v>3</v>
      </c>
      <c r="B22" s="548" t="s">
        <v>126</v>
      </c>
      <c r="C22" s="548"/>
      <c r="D22" s="570" t="str">
        <f>INDEX(Stammdaten!A69:A79,MATCH(Ablauf!D6,Stammdaten!C69:C79,0))</f>
        <v>C01</v>
      </c>
      <c r="E22" s="570"/>
      <c r="F22" s="568" t="str">
        <f>Ablauf!D6&amp;" "&amp;Ablauf!D7</f>
        <v>Gel-Coat spritzfähig natur</v>
      </c>
      <c r="G22" s="568"/>
      <c r="H22" s="568"/>
      <c r="I22" s="568"/>
      <c r="J22" s="568"/>
      <c r="K22" s="568"/>
      <c r="L22" s="568"/>
      <c r="M22" s="552">
        <f>SUM(Ablauf!Y20:Y59)</f>
        <v>0</v>
      </c>
      <c r="N22" s="552"/>
      <c r="O22" s="554"/>
      <c r="P22" s="554"/>
      <c r="Q22" s="554"/>
      <c r="R22" s="554"/>
      <c r="S22" s="554"/>
      <c r="T22" s="554"/>
      <c r="U22" s="556"/>
      <c r="V22" s="556"/>
      <c r="W22" s="556"/>
      <c r="X22" s="556"/>
      <c r="Y22" s="556"/>
      <c r="Z22" s="556"/>
      <c r="AA22" s="556"/>
      <c r="AB22" s="556"/>
      <c r="AC22" s="556"/>
      <c r="AD22" s="556"/>
      <c r="AE22" s="556"/>
      <c r="AF22" s="556"/>
    </row>
    <row r="23" spans="1:32" s="306" customFormat="1" ht="27.75" customHeight="1">
      <c r="A23" s="305">
        <v>4</v>
      </c>
      <c r="B23" s="547" t="s">
        <v>320</v>
      </c>
      <c r="C23" s="547"/>
      <c r="D23" s="538"/>
      <c r="E23" s="538"/>
      <c r="F23" s="562" t="str">
        <f>IF(M23=0,"",INDEX(Ablauf!$AD$20:$AD$29,MATCH(M23,Ablauf!$AP$20:$AP$29,0)))</f>
        <v>Glasmatte 450 g/m²</v>
      </c>
      <c r="G23" s="562"/>
      <c r="H23" s="562"/>
      <c r="I23" s="562"/>
      <c r="J23" s="562"/>
      <c r="K23" s="562"/>
      <c r="L23" s="562"/>
      <c r="M23" s="551">
        <f>LARGE(Ablauf!$AP$20:$AP$29,1)</f>
        <v>5.7599999999999989</v>
      </c>
      <c r="N23" s="551"/>
      <c r="O23" s="553"/>
      <c r="P23" s="553"/>
      <c r="Q23" s="553"/>
      <c r="R23" s="553"/>
      <c r="S23" s="553"/>
      <c r="T23" s="553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</row>
    <row r="24" spans="1:32" s="306" customFormat="1" ht="27.75" customHeight="1">
      <c r="A24" s="305">
        <v>5</v>
      </c>
      <c r="B24" s="547" t="s">
        <v>320</v>
      </c>
      <c r="C24" s="547"/>
      <c r="D24" s="538"/>
      <c r="E24" s="538"/>
      <c r="F24" s="562" t="str">
        <f>IF(M24=0,"",INDEX(Ablauf!$AD$20:$AD$29,MATCH(M24,Ablauf!$AP$20:$AP$29,0)))</f>
        <v/>
      </c>
      <c r="G24" s="562"/>
      <c r="H24" s="562"/>
      <c r="I24" s="562"/>
      <c r="J24" s="562"/>
      <c r="K24" s="562"/>
      <c r="L24" s="562"/>
      <c r="M24" s="551">
        <f>LARGE(Ablauf!$AP$20:$AP$29,2)</f>
        <v>0</v>
      </c>
      <c r="N24" s="551"/>
      <c r="O24" s="553"/>
      <c r="P24" s="553"/>
      <c r="Q24" s="553"/>
      <c r="R24" s="553"/>
      <c r="S24" s="553"/>
      <c r="T24" s="553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</row>
    <row r="25" spans="1:32" s="306" customFormat="1" ht="27.75" customHeight="1">
      <c r="A25" s="305">
        <v>6</v>
      </c>
      <c r="B25" s="547" t="s">
        <v>320</v>
      </c>
      <c r="C25" s="547"/>
      <c r="D25" s="538"/>
      <c r="E25" s="538"/>
      <c r="F25" s="562" t="str">
        <f>IF(M25=0,"",INDEX(Ablauf!$AD$20:$AD$29,MATCH(M25,Ablauf!$AP$20:$AP$29,0)))</f>
        <v/>
      </c>
      <c r="G25" s="562"/>
      <c r="H25" s="562"/>
      <c r="I25" s="562"/>
      <c r="J25" s="562"/>
      <c r="K25" s="562"/>
      <c r="L25" s="562"/>
      <c r="M25" s="551">
        <f>LARGE(Ablauf!$AP$20:$AP$29,3)</f>
        <v>0</v>
      </c>
      <c r="N25" s="551"/>
      <c r="O25" s="553"/>
      <c r="P25" s="553"/>
      <c r="Q25" s="553"/>
      <c r="R25" s="553"/>
      <c r="S25" s="553"/>
      <c r="T25" s="553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</row>
    <row r="26" spans="1:32" s="306" customFormat="1" ht="27.75" customHeight="1" thickBot="1">
      <c r="A26" s="307">
        <v>7</v>
      </c>
      <c r="B26" s="560" t="s">
        <v>320</v>
      </c>
      <c r="C26" s="560"/>
      <c r="D26" s="571"/>
      <c r="E26" s="571"/>
      <c r="F26" s="569" t="str">
        <f>IF(M26=0,"",INDEX(Ablauf!$AD$20:$AD$29,MATCH(M26,Ablauf!$AP$20:$AP$29,0)))</f>
        <v/>
      </c>
      <c r="G26" s="569"/>
      <c r="H26" s="569"/>
      <c r="I26" s="569"/>
      <c r="J26" s="569"/>
      <c r="K26" s="569"/>
      <c r="L26" s="569"/>
      <c r="M26" s="559">
        <f>LARGE(Ablauf!$AP$20:$AP$29,4)</f>
        <v>0</v>
      </c>
      <c r="N26" s="559"/>
      <c r="O26" s="574"/>
      <c r="P26" s="574"/>
      <c r="Q26" s="574"/>
      <c r="R26" s="574"/>
      <c r="S26" s="574"/>
      <c r="T26" s="574"/>
      <c r="U26" s="556"/>
      <c r="V26" s="556"/>
      <c r="W26" s="556"/>
      <c r="X26" s="556"/>
      <c r="Y26" s="556"/>
      <c r="Z26" s="556"/>
      <c r="AA26" s="556"/>
      <c r="AB26" s="556"/>
      <c r="AC26" s="556"/>
      <c r="AD26" s="556"/>
      <c r="AE26" s="556"/>
      <c r="AF26" s="556"/>
    </row>
    <row r="27" spans="1:32" s="306" customFormat="1" ht="27.75" customHeight="1">
      <c r="A27" s="303">
        <v>8</v>
      </c>
      <c r="B27" s="547" t="s">
        <v>224</v>
      </c>
      <c r="C27" s="547"/>
      <c r="D27" s="538"/>
      <c r="E27" s="538"/>
      <c r="F27" s="562"/>
      <c r="G27" s="562"/>
      <c r="H27" s="562"/>
      <c r="I27" s="562"/>
      <c r="J27" s="562"/>
      <c r="K27" s="562"/>
      <c r="L27" s="562"/>
      <c r="M27" s="550"/>
      <c r="N27" s="550"/>
      <c r="O27" s="557"/>
      <c r="P27" s="557"/>
      <c r="Q27" s="557"/>
      <c r="R27" s="557"/>
      <c r="S27" s="557"/>
      <c r="T27" s="557"/>
      <c r="U27" s="549"/>
      <c r="V27" s="549"/>
      <c r="W27" s="549"/>
      <c r="X27" s="549"/>
      <c r="Y27" s="549"/>
      <c r="Z27" s="549"/>
      <c r="AA27" s="549"/>
      <c r="AB27" s="549"/>
      <c r="AC27" s="549"/>
      <c r="AD27" s="549"/>
      <c r="AE27" s="549"/>
      <c r="AF27" s="549"/>
    </row>
    <row r="28" spans="1:32" s="306" customFormat="1" ht="27.75" customHeight="1">
      <c r="A28" s="305">
        <v>9</v>
      </c>
      <c r="B28" s="547" t="s">
        <v>224</v>
      </c>
      <c r="C28" s="547"/>
      <c r="D28" s="538"/>
      <c r="E28" s="538"/>
      <c r="F28" s="562"/>
      <c r="G28" s="562"/>
      <c r="H28" s="562"/>
      <c r="I28" s="562"/>
      <c r="J28" s="562"/>
      <c r="K28" s="562"/>
      <c r="L28" s="562"/>
      <c r="M28" s="551"/>
      <c r="N28" s="551"/>
      <c r="O28" s="553"/>
      <c r="P28" s="553"/>
      <c r="Q28" s="553"/>
      <c r="R28" s="553"/>
      <c r="S28" s="553"/>
      <c r="T28" s="553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</row>
    <row r="29" spans="1:32" s="306" customFormat="1" ht="27.75" customHeight="1">
      <c r="A29" s="305">
        <v>10</v>
      </c>
      <c r="B29" s="547" t="s">
        <v>224</v>
      </c>
      <c r="C29" s="547"/>
      <c r="D29" s="538"/>
      <c r="E29" s="538"/>
      <c r="F29" s="562"/>
      <c r="G29" s="562"/>
      <c r="H29" s="562"/>
      <c r="I29" s="562"/>
      <c r="J29" s="562"/>
      <c r="K29" s="562"/>
      <c r="L29" s="562"/>
      <c r="M29" s="551"/>
      <c r="N29" s="551"/>
      <c r="O29" s="553"/>
      <c r="P29" s="553"/>
      <c r="Q29" s="553"/>
      <c r="R29" s="553"/>
      <c r="S29" s="553"/>
      <c r="T29" s="553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</row>
    <row r="30" spans="1:32" s="306" customFormat="1" ht="27.75" customHeight="1">
      <c r="A30" s="305">
        <v>11</v>
      </c>
      <c r="B30" s="547" t="s">
        <v>224</v>
      </c>
      <c r="C30" s="547"/>
      <c r="D30" s="538"/>
      <c r="E30" s="538"/>
      <c r="F30" s="562"/>
      <c r="G30" s="562"/>
      <c r="H30" s="562"/>
      <c r="I30" s="562"/>
      <c r="J30" s="562"/>
      <c r="K30" s="562"/>
      <c r="L30" s="562"/>
      <c r="M30" s="551"/>
      <c r="N30" s="551"/>
      <c r="O30" s="553"/>
      <c r="P30" s="553"/>
      <c r="Q30" s="553"/>
      <c r="R30" s="553"/>
      <c r="S30" s="553"/>
      <c r="T30" s="553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</row>
    <row r="31" spans="1:32" s="306" customFormat="1" ht="27.75" customHeight="1">
      <c r="A31" s="305">
        <v>12</v>
      </c>
      <c r="B31" s="566" t="s">
        <v>224</v>
      </c>
      <c r="C31" s="566"/>
      <c r="D31" s="565"/>
      <c r="E31" s="565"/>
      <c r="F31" s="563"/>
      <c r="G31" s="563"/>
      <c r="H31" s="563"/>
      <c r="I31" s="563"/>
      <c r="J31" s="563"/>
      <c r="K31" s="563"/>
      <c r="L31" s="563"/>
      <c r="M31" s="551"/>
      <c r="N31" s="551"/>
      <c r="O31" s="553"/>
      <c r="P31" s="553"/>
      <c r="Q31" s="553"/>
      <c r="R31" s="553"/>
      <c r="S31" s="553"/>
      <c r="T31" s="553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</row>
    <row r="32" spans="1:32" s="306" customFormat="1" ht="23.25" customHeight="1">
      <c r="A32" s="426"/>
      <c r="B32" s="558"/>
      <c r="C32" s="558"/>
      <c r="D32" s="561"/>
      <c r="E32" s="561"/>
      <c r="F32" s="564"/>
      <c r="G32" s="564"/>
      <c r="H32" s="564"/>
      <c r="I32" s="564"/>
      <c r="J32" s="564"/>
      <c r="K32" s="564"/>
      <c r="L32" s="564"/>
      <c r="M32" s="558"/>
      <c r="N32" s="558"/>
    </row>
    <row r="33" spans="1:14" s="146" customFormat="1" ht="14.25" customHeight="1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  <c r="L33" s="427"/>
      <c r="M33" s="427"/>
      <c r="N33" s="427"/>
    </row>
    <row r="34" spans="1:14" s="146" customFormat="1" ht="14.25" customHeight="1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  <c r="L34" s="427"/>
      <c r="M34" s="427"/>
      <c r="N34" s="427"/>
    </row>
    <row r="35" spans="1:14" s="146" customFormat="1" ht="14.25" customHeight="1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  <c r="L35" s="427"/>
      <c r="M35" s="427"/>
      <c r="N35" s="427"/>
    </row>
    <row r="36" spans="1:14" s="146" customFormat="1" ht="14.25" customHeight="1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  <c r="L36" s="427"/>
      <c r="M36" s="427"/>
      <c r="N36" s="427"/>
    </row>
    <row r="37" spans="1:14" s="146" customFormat="1" ht="14.25" customHeight="1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  <c r="L37" s="427"/>
      <c r="M37" s="427"/>
      <c r="N37" s="427"/>
    </row>
    <row r="38" spans="1:14" s="146" customFormat="1" ht="14.25" customHeight="1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  <c r="L38" s="427"/>
      <c r="M38" s="427"/>
      <c r="N38" s="427"/>
    </row>
    <row r="39" spans="1:14" s="146" customFormat="1" ht="14.25" customHeight="1"/>
    <row r="40" spans="1:14" s="146" customFormat="1" ht="14.25" customHeight="1"/>
    <row r="41" spans="1:14" s="146" customFormat="1" ht="14.25" customHeight="1"/>
    <row r="42" spans="1:14" s="146" customFormat="1" ht="14.25" customHeight="1"/>
    <row r="43" spans="1:14" s="146" customFormat="1" ht="14.25" customHeight="1"/>
    <row r="44" spans="1:14" s="146" customFormat="1" ht="14.25" customHeight="1"/>
    <row r="45" spans="1:14" s="146" customFormat="1" ht="14.25" customHeight="1"/>
    <row r="46" spans="1:14" s="42" customFormat="1" ht="14.25" customHeight="1"/>
    <row r="47" spans="1:14" s="146" customFormat="1" ht="14.25" customHeight="1"/>
    <row r="48" spans="1:14" s="146" customFormat="1" ht="14.25" customHeight="1"/>
    <row r="49" s="146" customFormat="1" ht="14.25" customHeight="1"/>
    <row r="50" s="146" customFormat="1" ht="14.25" customHeight="1"/>
    <row r="51" s="146" customFormat="1" ht="14.25" customHeight="1"/>
    <row r="52" s="146" customFormat="1" ht="14.25" customHeight="1"/>
    <row r="53" s="146" customFormat="1" ht="14.25" customHeight="1"/>
    <row r="54" s="146" customFormat="1" ht="14.25" customHeight="1"/>
    <row r="55" s="146" customFormat="1" ht="14.25" customHeight="1"/>
    <row r="56" s="146" customFormat="1" ht="14.25" customHeight="1"/>
    <row r="57" s="31" customFormat="1" ht="14.25" customHeight="1"/>
    <row r="58" s="31" customFormat="1" ht="14.25" customHeight="1"/>
    <row r="59" s="30" customFormat="1" ht="14.25" customHeight="1"/>
    <row r="60" s="30" customFormat="1" ht="14.25" customHeight="1"/>
    <row r="61" s="30" customFormat="1" ht="14.25" customHeight="1"/>
    <row r="62" s="30" customFormat="1" ht="14.25" customHeight="1"/>
    <row r="63" s="30" customFormat="1" ht="14.25" customHeight="1"/>
    <row r="64" s="30" customFormat="1" ht="14.25" customHeight="1"/>
    <row r="65" spans="1:5" s="30" customFormat="1" ht="14.25" customHeight="1"/>
    <row r="66" spans="1:5" s="30" customFormat="1" ht="14.25" customHeight="1"/>
    <row r="67" spans="1:5" s="30" customFormat="1" ht="14.25" customHeight="1"/>
    <row r="68" spans="1:5" s="30" customFormat="1" ht="14.25" customHeight="1"/>
    <row r="69" spans="1:5" s="30" customFormat="1" ht="14.25" customHeight="1"/>
    <row r="70" spans="1:5" s="30" customFormat="1" ht="14.25" customHeight="1"/>
    <row r="71" spans="1:5" s="30" customFormat="1" ht="14.25" customHeight="1"/>
    <row r="72" spans="1:5" s="30" customFormat="1" ht="14.25" customHeight="1"/>
    <row r="73" spans="1:5" s="30" customFormat="1" ht="14.25" customHeight="1"/>
    <row r="74" spans="1:5" s="30" customFormat="1" ht="14.25" customHeight="1"/>
    <row r="75" spans="1:5" s="30" customFormat="1" ht="14.25" customHeight="1"/>
    <row r="76" spans="1:5" ht="14.25" customHeight="1">
      <c r="A76" s="141"/>
      <c r="B76" s="44"/>
      <c r="C76" s="141"/>
      <c r="D76" s="142"/>
      <c r="E76" s="144"/>
    </row>
    <row r="77" spans="1:5" ht="14.25" customHeight="1">
      <c r="A77" s="1"/>
      <c r="B77" s="1"/>
      <c r="C77" s="1"/>
      <c r="D77" s="1"/>
      <c r="E77" s="114"/>
    </row>
    <row r="78" spans="1:5" ht="14.25" customHeight="1">
      <c r="A78" s="1"/>
      <c r="B78" s="1"/>
      <c r="C78" s="1"/>
      <c r="D78" s="1"/>
      <c r="E78" s="114"/>
    </row>
    <row r="79" spans="1:5" ht="14.25" customHeight="1">
      <c r="A79" s="1"/>
      <c r="B79" s="1"/>
      <c r="C79" s="1"/>
      <c r="D79" s="1"/>
      <c r="E79" s="114"/>
    </row>
    <row r="80" spans="1:5" ht="14.25" customHeight="1">
      <c r="A80" s="1"/>
      <c r="B80" s="1"/>
      <c r="C80" s="1"/>
      <c r="D80" s="1"/>
      <c r="E80" s="114"/>
    </row>
    <row r="81" spans="1:5" ht="14.25" customHeight="1">
      <c r="A81" s="1"/>
      <c r="B81" s="1"/>
      <c r="C81" s="1"/>
      <c r="D81" s="1"/>
      <c r="E81" s="114"/>
    </row>
    <row r="82" spans="1:5" ht="14.25" customHeight="1">
      <c r="A82" s="1"/>
      <c r="B82" s="1"/>
      <c r="C82" s="1"/>
      <c r="D82" s="1"/>
      <c r="E82" s="114"/>
    </row>
    <row r="83" spans="1:5" ht="14.25" customHeight="1">
      <c r="A83" s="1"/>
      <c r="B83" s="1"/>
      <c r="C83" s="1"/>
      <c r="D83" s="1"/>
      <c r="E83" s="114"/>
    </row>
    <row r="84" spans="1:5" ht="14.25" customHeight="1">
      <c r="A84" s="1"/>
      <c r="B84" s="1"/>
      <c r="C84" s="1"/>
      <c r="D84" s="1"/>
      <c r="E84" s="114"/>
    </row>
    <row r="85" spans="1:5" ht="14.25" customHeight="1">
      <c r="A85" s="1"/>
      <c r="B85" s="1"/>
      <c r="C85" s="1"/>
      <c r="D85" s="1"/>
      <c r="E85" s="114"/>
    </row>
    <row r="86" spans="1:5" ht="14.25" customHeight="1">
      <c r="A86" s="1"/>
      <c r="B86" s="1"/>
      <c r="C86" s="1"/>
      <c r="D86" s="1"/>
      <c r="E86" s="114"/>
    </row>
    <row r="87" spans="1:5" ht="14.25" customHeight="1">
      <c r="A87" s="1"/>
      <c r="B87" s="1"/>
      <c r="C87" s="1"/>
      <c r="D87" s="1"/>
      <c r="E87" s="114"/>
    </row>
    <row r="88" spans="1:5" ht="14.25" customHeight="1">
      <c r="A88" s="1"/>
      <c r="B88" s="1"/>
      <c r="C88" s="1"/>
      <c r="D88" s="1"/>
      <c r="E88" s="114"/>
    </row>
    <row r="89" spans="1:5" ht="14.25" customHeight="1">
      <c r="A89" s="1"/>
      <c r="B89" s="1"/>
      <c r="C89" s="1"/>
      <c r="D89" s="1"/>
      <c r="E89" s="114"/>
    </row>
    <row r="90" spans="1:5" ht="14.25" customHeight="1">
      <c r="A90" s="1"/>
      <c r="B90" s="1"/>
      <c r="C90" s="1"/>
      <c r="D90" s="1"/>
      <c r="E90" s="114"/>
    </row>
    <row r="91" spans="1:5" ht="14.25" customHeight="1">
      <c r="A91" s="1"/>
      <c r="B91" s="1"/>
      <c r="C91" s="1"/>
      <c r="D91" s="1"/>
      <c r="E91" s="114"/>
    </row>
    <row r="92" spans="1:5" ht="14.25" customHeight="1">
      <c r="A92" s="1"/>
      <c r="B92" s="1"/>
      <c r="C92" s="1"/>
      <c r="D92" s="1"/>
      <c r="E92" s="114"/>
    </row>
    <row r="93" spans="1:5" ht="14.25" customHeight="1">
      <c r="A93" s="1"/>
      <c r="B93" s="1"/>
      <c r="C93" s="1"/>
      <c r="D93" s="1"/>
      <c r="E93" s="114"/>
    </row>
    <row r="94" spans="1:5" ht="14.25" customHeight="1">
      <c r="A94" s="1"/>
      <c r="B94" s="1"/>
      <c r="C94" s="1"/>
      <c r="D94" s="1"/>
      <c r="E94" s="114"/>
    </row>
    <row r="95" spans="1:5" ht="14.25" customHeight="1">
      <c r="A95" s="1"/>
      <c r="B95" s="1"/>
      <c r="C95" s="1"/>
      <c r="D95" s="1"/>
      <c r="E95" s="114"/>
    </row>
    <row r="96" spans="1:5" ht="14.25" customHeight="1">
      <c r="A96" s="1"/>
      <c r="B96" s="1"/>
      <c r="C96" s="1"/>
      <c r="D96" s="1"/>
      <c r="E96" s="114"/>
    </row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</sheetData>
  <mergeCells count="114">
    <mergeCell ref="A4:B4"/>
    <mergeCell ref="A5:B5"/>
    <mergeCell ref="C4:G4"/>
    <mergeCell ref="C5:G5"/>
    <mergeCell ref="W1:AF2"/>
    <mergeCell ref="K1:T2"/>
    <mergeCell ref="I1:J2"/>
    <mergeCell ref="U1:V2"/>
    <mergeCell ref="A1:H2"/>
    <mergeCell ref="M4:P4"/>
    <mergeCell ref="I4:K4"/>
    <mergeCell ref="I5:K5"/>
    <mergeCell ref="U31:AF31"/>
    <mergeCell ref="M5:P5"/>
    <mergeCell ref="O28:T28"/>
    <mergeCell ref="U28:AF28"/>
    <mergeCell ref="O29:T29"/>
    <mergeCell ref="U29:AF29"/>
    <mergeCell ref="O30:T30"/>
    <mergeCell ref="U30:AF30"/>
    <mergeCell ref="O25:T25"/>
    <mergeCell ref="U25:AF25"/>
    <mergeCell ref="O26:T26"/>
    <mergeCell ref="U26:AF26"/>
    <mergeCell ref="O27:T27"/>
    <mergeCell ref="U27:AF27"/>
    <mergeCell ref="O23:T23"/>
    <mergeCell ref="U23:AF23"/>
    <mergeCell ref="O24:T24"/>
    <mergeCell ref="U24:AF24"/>
    <mergeCell ref="O19:T19"/>
    <mergeCell ref="M19:N19"/>
    <mergeCell ref="B31:C31"/>
    <mergeCell ref="M30:N30"/>
    <mergeCell ref="M31:N31"/>
    <mergeCell ref="Y19:AF19"/>
    <mergeCell ref="F20:L20"/>
    <mergeCell ref="F21:L21"/>
    <mergeCell ref="F22:L22"/>
    <mergeCell ref="F23:L23"/>
    <mergeCell ref="F24:L24"/>
    <mergeCell ref="F25:L25"/>
    <mergeCell ref="F26:L26"/>
    <mergeCell ref="F27:L27"/>
    <mergeCell ref="F28:L28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U19:X19"/>
    <mergeCell ref="O31:T31"/>
    <mergeCell ref="M32:N32"/>
    <mergeCell ref="B23:C23"/>
    <mergeCell ref="B24:C24"/>
    <mergeCell ref="B25:C25"/>
    <mergeCell ref="M25:N25"/>
    <mergeCell ref="M26:N26"/>
    <mergeCell ref="M27:N27"/>
    <mergeCell ref="M28:N28"/>
    <mergeCell ref="M29:N29"/>
    <mergeCell ref="B32:C32"/>
    <mergeCell ref="D30:E30"/>
    <mergeCell ref="B26:C26"/>
    <mergeCell ref="B27:C27"/>
    <mergeCell ref="B28:C28"/>
    <mergeCell ref="B29:C29"/>
    <mergeCell ref="B30:C30"/>
    <mergeCell ref="D32:E32"/>
    <mergeCell ref="F29:L29"/>
    <mergeCell ref="F30:L30"/>
    <mergeCell ref="F31:L31"/>
    <mergeCell ref="F32:L32"/>
    <mergeCell ref="M23:N23"/>
    <mergeCell ref="M24:N24"/>
    <mergeCell ref="D31:E31"/>
    <mergeCell ref="B21:C21"/>
    <mergeCell ref="B22:C22"/>
    <mergeCell ref="U20:AF20"/>
    <mergeCell ref="M20:N20"/>
    <mergeCell ref="M21:N21"/>
    <mergeCell ref="M22:N22"/>
    <mergeCell ref="O21:T21"/>
    <mergeCell ref="O22:T22"/>
    <mergeCell ref="U21:AF21"/>
    <mergeCell ref="U22:AF22"/>
    <mergeCell ref="O20:T20"/>
    <mergeCell ref="B19:C19"/>
    <mergeCell ref="D19:E19"/>
    <mergeCell ref="D20:E20"/>
    <mergeCell ref="E16:H16"/>
    <mergeCell ref="A16:D16"/>
    <mergeCell ref="I16:K16"/>
    <mergeCell ref="L16:O16"/>
    <mergeCell ref="E14:H14"/>
    <mergeCell ref="I14:J14"/>
    <mergeCell ref="K14:O14"/>
    <mergeCell ref="B20:C20"/>
    <mergeCell ref="I6:K6"/>
    <mergeCell ref="A12:D12"/>
    <mergeCell ref="Q12:T12"/>
    <mergeCell ref="E12:O12"/>
    <mergeCell ref="Y8:AB8"/>
    <mergeCell ref="AC8:AF8"/>
    <mergeCell ref="E8:H8"/>
    <mergeCell ref="A8:D8"/>
    <mergeCell ref="Q8:T8"/>
    <mergeCell ref="U8:X8"/>
    <mergeCell ref="M8:P8"/>
    <mergeCell ref="I8:L8"/>
  </mergeCells>
  <phoneticPr fontId="0" type="noConversion"/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78" orientation="landscape" r:id="rId1"/>
  <headerFooter alignWithMargins="0"/>
  <rowBreaks count="1" manualBreakCount="1">
    <brk id="47" max="15" man="1"/>
  </rowBreaks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print="0" autoFill="0" autoLine="0" r:id="rId5">
            <anchor moveWithCells="1">
              <from>
                <xdr:col>22</xdr:col>
                <xdr:colOff>352425</xdr:colOff>
                <xdr:row>3</xdr:row>
                <xdr:rowOff>0</xdr:rowOff>
              </from>
              <to>
                <xdr:col>30</xdr:col>
                <xdr:colOff>152400</xdr:colOff>
                <xdr:row>5</xdr:row>
                <xdr:rowOff>28575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W142"/>
  <sheetViews>
    <sheetView topLeftCell="A62" workbookViewId="0">
      <selection activeCell="D128" sqref="D128"/>
    </sheetView>
  </sheetViews>
  <sheetFormatPr baseColWidth="10" defaultRowHeight="12.75" outlineLevelRow="1"/>
  <cols>
    <col min="1" max="2" width="4.140625" style="2" customWidth="1"/>
    <col min="3" max="3" width="26.140625" style="2" customWidth="1"/>
    <col min="4" max="6" width="11.7109375" customWidth="1"/>
    <col min="7" max="15" width="11.7109375" style="2" customWidth="1"/>
    <col min="16" max="16" width="14.140625" style="2" customWidth="1"/>
    <col min="17" max="17" width="13.28515625" style="2" customWidth="1"/>
    <col min="18" max="18" width="14.140625" style="2" customWidth="1"/>
    <col min="19" max="19" width="31.7109375" style="2" customWidth="1"/>
    <col min="20" max="20" width="10.140625" style="2" customWidth="1"/>
    <col min="21" max="22" width="10.140625" customWidth="1"/>
  </cols>
  <sheetData>
    <row r="1" spans="1:23" s="189" customFormat="1" ht="18">
      <c r="A1" s="584" t="s">
        <v>220</v>
      </c>
      <c r="B1" s="584"/>
      <c r="C1" s="584"/>
      <c r="D1" s="584"/>
      <c r="E1" s="584"/>
      <c r="F1" s="584"/>
      <c r="G1" s="584"/>
      <c r="H1" s="584"/>
      <c r="I1" s="584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8"/>
    </row>
    <row r="2" spans="1:23" ht="15.75" customHeight="1" outlineLevel="1">
      <c r="A2" s="14"/>
      <c r="B2" s="14"/>
      <c r="C2" s="221" t="s">
        <v>221</v>
      </c>
      <c r="D2" s="587" t="s">
        <v>12</v>
      </c>
      <c r="E2" s="586"/>
      <c r="F2" s="586"/>
      <c r="G2" s="586"/>
      <c r="H2" s="586" t="s">
        <v>302</v>
      </c>
      <c r="I2" s="586" t="s">
        <v>47</v>
      </c>
      <c r="J2" s="587" t="s">
        <v>15</v>
      </c>
      <c r="K2" s="586"/>
      <c r="L2" s="586"/>
      <c r="M2" s="586"/>
      <c r="N2" s="586"/>
      <c r="O2" s="587" t="s">
        <v>30</v>
      </c>
      <c r="P2" s="586"/>
      <c r="Q2" s="588" t="s">
        <v>13</v>
      </c>
      <c r="R2" s="589"/>
      <c r="S2" s="588" t="s">
        <v>68</v>
      </c>
      <c r="T2" s="238"/>
      <c r="U2" s="1"/>
    </row>
    <row r="3" spans="1:23" ht="15" customHeight="1" outlineLevel="1">
      <c r="A3" s="14"/>
      <c r="B3" s="14"/>
      <c r="C3" s="222">
        <v>35</v>
      </c>
      <c r="D3" s="587"/>
      <c r="E3" s="586"/>
      <c r="F3" s="586"/>
      <c r="G3" s="586"/>
      <c r="H3" s="586"/>
      <c r="I3" s="586"/>
      <c r="J3" s="587"/>
      <c r="K3" s="586"/>
      <c r="L3" s="586"/>
      <c r="M3" s="586"/>
      <c r="N3" s="586"/>
      <c r="O3" s="587"/>
      <c r="P3" s="586"/>
      <c r="Q3" s="588"/>
      <c r="R3" s="589"/>
      <c r="S3" s="588"/>
      <c r="T3" s="238"/>
      <c r="U3" s="1"/>
    </row>
    <row r="4" spans="1:23" ht="14.25" outlineLevel="1">
      <c r="A4" s="191" t="s">
        <v>240</v>
      </c>
      <c r="B4" s="191" t="s">
        <v>331</v>
      </c>
      <c r="C4" s="223"/>
      <c r="D4" s="228" t="s">
        <v>3</v>
      </c>
      <c r="E4" s="33" t="s">
        <v>5</v>
      </c>
      <c r="F4" s="34" t="s">
        <v>4</v>
      </c>
      <c r="G4" s="32" t="s">
        <v>11</v>
      </c>
      <c r="H4" s="32"/>
      <c r="I4" s="35"/>
      <c r="J4" s="233" t="s">
        <v>24</v>
      </c>
      <c r="K4" s="220" t="s">
        <v>19</v>
      </c>
      <c r="L4" s="220" t="s">
        <v>16</v>
      </c>
      <c r="M4" s="179" t="s">
        <v>233</v>
      </c>
      <c r="N4" s="179" t="s">
        <v>285</v>
      </c>
      <c r="O4" s="233" t="s">
        <v>49</v>
      </c>
      <c r="P4" s="179" t="s">
        <v>50</v>
      </c>
      <c r="Q4" s="246" t="s">
        <v>289</v>
      </c>
      <c r="R4" s="179" t="s">
        <v>31</v>
      </c>
      <c r="S4" s="233" t="s">
        <v>69</v>
      </c>
      <c r="T4" s="231"/>
      <c r="U4" s="180" t="s">
        <v>234</v>
      </c>
      <c r="V4" s="180" t="s">
        <v>235</v>
      </c>
      <c r="W4" s="180" t="s">
        <v>236</v>
      </c>
    </row>
    <row r="5" spans="1:23" s="242" customFormat="1" hidden="1" outlineLevel="1">
      <c r="A5" s="193">
        <v>1</v>
      </c>
      <c r="B5" s="193">
        <v>2</v>
      </c>
      <c r="C5" s="224">
        <f>B5+1</f>
        <v>3</v>
      </c>
      <c r="D5" s="229">
        <f t="shared" ref="D5:S5" si="0">C5+1</f>
        <v>4</v>
      </c>
      <c r="E5" s="194">
        <f t="shared" si="0"/>
        <v>5</v>
      </c>
      <c r="F5" s="193">
        <f t="shared" si="0"/>
        <v>6</v>
      </c>
      <c r="G5" s="194">
        <f t="shared" si="0"/>
        <v>7</v>
      </c>
      <c r="H5" s="194">
        <f t="shared" si="0"/>
        <v>8</v>
      </c>
      <c r="I5" s="193">
        <f t="shared" si="0"/>
        <v>9</v>
      </c>
      <c r="J5" s="224">
        <f t="shared" si="0"/>
        <v>10</v>
      </c>
      <c r="K5" s="193">
        <f t="shared" si="0"/>
        <v>11</v>
      </c>
      <c r="L5" s="194">
        <f t="shared" si="0"/>
        <v>12</v>
      </c>
      <c r="M5" s="194">
        <f t="shared" si="0"/>
        <v>13</v>
      </c>
      <c r="N5" s="193">
        <f t="shared" si="0"/>
        <v>14</v>
      </c>
      <c r="O5" s="229">
        <f t="shared" si="0"/>
        <v>15</v>
      </c>
      <c r="P5" s="194">
        <f t="shared" si="0"/>
        <v>16</v>
      </c>
      <c r="Q5" s="229">
        <f t="shared" si="0"/>
        <v>17</v>
      </c>
      <c r="R5" s="194">
        <f t="shared" si="0"/>
        <v>18</v>
      </c>
      <c r="S5" s="229">
        <f t="shared" si="0"/>
        <v>19</v>
      </c>
      <c r="T5" s="241"/>
    </row>
    <row r="6" spans="1:23" s="186" customFormat="1" ht="14.25" hidden="1" outlineLevel="1">
      <c r="A6" s="182"/>
      <c r="B6" s="182"/>
      <c r="C6" s="225"/>
      <c r="D6" s="230"/>
      <c r="E6" s="183"/>
      <c r="F6" s="183"/>
      <c r="G6" s="183"/>
      <c r="H6" s="183"/>
      <c r="I6" s="184"/>
      <c r="J6" s="225"/>
      <c r="K6" s="212"/>
      <c r="L6" s="212"/>
      <c r="M6" s="212"/>
      <c r="N6" s="212"/>
      <c r="O6" s="230"/>
      <c r="P6" s="183"/>
      <c r="Q6" s="235"/>
      <c r="R6" s="185"/>
      <c r="S6" s="235"/>
      <c r="T6" s="239"/>
    </row>
    <row r="7" spans="1:23" s="186" customFormat="1" ht="14.25" hidden="1" outlineLevel="1">
      <c r="A7" s="182"/>
      <c r="B7" s="182"/>
      <c r="C7" s="225"/>
      <c r="D7" s="230"/>
      <c r="E7" s="183"/>
      <c r="F7" s="183"/>
      <c r="G7" s="183"/>
      <c r="H7" s="183"/>
      <c r="I7" s="184"/>
      <c r="J7" s="225"/>
      <c r="K7" s="212"/>
      <c r="L7" s="212"/>
      <c r="M7" s="212"/>
      <c r="N7" s="212"/>
      <c r="O7" s="230"/>
      <c r="P7" s="183"/>
      <c r="Q7" s="235"/>
      <c r="R7" s="185"/>
      <c r="S7" s="235"/>
      <c r="T7" s="239"/>
    </row>
    <row r="8" spans="1:23" s="186" customFormat="1" ht="14.25" hidden="1" outlineLevel="1">
      <c r="A8" s="182"/>
      <c r="B8" s="182"/>
      <c r="C8" s="225"/>
      <c r="D8" s="230"/>
      <c r="E8" s="183"/>
      <c r="F8" s="183"/>
      <c r="G8" s="183"/>
      <c r="H8" s="183"/>
      <c r="I8" s="184"/>
      <c r="J8" s="225"/>
      <c r="K8" s="212"/>
      <c r="L8" s="212"/>
      <c r="M8" s="212"/>
      <c r="N8" s="212"/>
      <c r="O8" s="230"/>
      <c r="P8" s="183"/>
      <c r="Q8" s="235"/>
      <c r="R8" s="185"/>
      <c r="S8" s="235"/>
      <c r="T8" s="239"/>
    </row>
    <row r="9" spans="1:23" s="186" customFormat="1" ht="14.25" hidden="1" outlineLevel="1">
      <c r="A9" s="182"/>
      <c r="B9" s="182"/>
      <c r="C9" s="225"/>
      <c r="D9" s="230"/>
      <c r="E9" s="183"/>
      <c r="F9" s="183"/>
      <c r="G9" s="183"/>
      <c r="H9" s="183"/>
      <c r="I9" s="184"/>
      <c r="J9" s="225"/>
      <c r="K9" s="212"/>
      <c r="L9" s="212"/>
      <c r="M9" s="212"/>
      <c r="N9" s="212"/>
      <c r="O9" s="230"/>
      <c r="P9" s="183"/>
      <c r="Q9" s="235"/>
      <c r="R9" s="185"/>
      <c r="S9" s="235"/>
      <c r="T9" s="239"/>
    </row>
    <row r="10" spans="1:23" s="186" customFormat="1" ht="14.25" hidden="1" outlineLevel="1">
      <c r="A10" s="182"/>
      <c r="B10" s="182"/>
      <c r="C10" s="225"/>
      <c r="D10" s="230"/>
      <c r="E10" s="183"/>
      <c r="F10" s="183"/>
      <c r="G10" s="183"/>
      <c r="H10" s="183"/>
      <c r="I10" s="184"/>
      <c r="J10" s="225"/>
      <c r="K10" s="212"/>
      <c r="L10" s="212"/>
      <c r="M10" s="212"/>
      <c r="N10" s="212"/>
      <c r="O10" s="230"/>
      <c r="P10" s="183"/>
      <c r="Q10" s="235"/>
      <c r="R10" s="185"/>
      <c r="S10" s="235"/>
      <c r="T10" s="239"/>
    </row>
    <row r="11" spans="1:23" s="1" customFormat="1" ht="15" outlineLevel="1">
      <c r="A11" s="178">
        <v>11</v>
      </c>
      <c r="B11" s="178">
        <v>3</v>
      </c>
      <c r="C11" s="226" t="s">
        <v>225</v>
      </c>
      <c r="D11" s="26">
        <v>5</v>
      </c>
      <c r="E11" s="25">
        <v>7.5</v>
      </c>
      <c r="F11" s="25">
        <v>10</v>
      </c>
      <c r="G11" s="25">
        <v>15</v>
      </c>
      <c r="H11" s="25">
        <f>HLOOKUP(Komplexitaet,Stammdaten!$D$4:$G$40,A11-3,0)*Fläche</f>
        <v>8</v>
      </c>
      <c r="I11" s="25">
        <v>3</v>
      </c>
      <c r="J11" s="234">
        <v>0.5</v>
      </c>
      <c r="K11" s="23">
        <v>0.72</v>
      </c>
      <c r="L11" s="9">
        <v>150</v>
      </c>
      <c r="M11" s="20">
        <v>0.45</v>
      </c>
      <c r="N11" s="219">
        <f t="shared" ref="N11:N21" si="1">L11/U11*(1-U11)</f>
        <v>124.66666666666669</v>
      </c>
      <c r="O11" s="234"/>
      <c r="P11" s="13">
        <v>0.5</v>
      </c>
      <c r="Q11" s="236">
        <v>0.4</v>
      </c>
      <c r="R11" s="22">
        <f t="shared" ref="R11:R21" si="2">(L11+N11)/1000</f>
        <v>0.27466666666666667</v>
      </c>
      <c r="S11" s="237" t="s">
        <v>139</v>
      </c>
      <c r="T11" s="240"/>
      <c r="U11" s="218">
        <f t="shared" ref="U11:U21" si="3">(M11*V11)/((M11*V11)+(1-M11)*W11)</f>
        <v>0.54611650485436891</v>
      </c>
      <c r="V11" s="1">
        <v>2.5</v>
      </c>
      <c r="W11" s="1">
        <f>VLOOKUP(Harztyp,Stammdaten!C$81:E$106,3,1)</f>
        <v>1.7</v>
      </c>
    </row>
    <row r="12" spans="1:23" s="1" customFormat="1" ht="15" outlineLevel="1">
      <c r="A12" s="178">
        <v>12</v>
      </c>
      <c r="B12" s="178">
        <v>3</v>
      </c>
      <c r="C12" s="226" t="s">
        <v>226</v>
      </c>
      <c r="D12" s="26">
        <v>7</v>
      </c>
      <c r="E12" s="25">
        <v>10</v>
      </c>
      <c r="F12" s="25">
        <v>15</v>
      </c>
      <c r="G12" s="25">
        <v>20</v>
      </c>
      <c r="H12" s="25">
        <f>HLOOKUP(Komplexitaet,Stammdaten!$D$4:$G$40,A12-3,0)*Fläche</f>
        <v>11.200000000000001</v>
      </c>
      <c r="I12" s="25">
        <v>3</v>
      </c>
      <c r="J12" s="234">
        <v>0.5</v>
      </c>
      <c r="K12" s="23">
        <v>0.79</v>
      </c>
      <c r="L12" s="9">
        <v>225</v>
      </c>
      <c r="M12" s="20">
        <v>0.45</v>
      </c>
      <c r="N12" s="219">
        <f t="shared" si="1"/>
        <v>187</v>
      </c>
      <c r="O12" s="234"/>
      <c r="P12" s="13">
        <v>0.5</v>
      </c>
      <c r="Q12" s="236">
        <v>0.6</v>
      </c>
      <c r="R12" s="22">
        <f t="shared" si="2"/>
        <v>0.41199999999999998</v>
      </c>
      <c r="S12" s="237" t="s">
        <v>139</v>
      </c>
      <c r="T12" s="240"/>
      <c r="U12" s="218">
        <f t="shared" si="3"/>
        <v>0.54611650485436891</v>
      </c>
      <c r="V12" s="1">
        <v>2.5</v>
      </c>
      <c r="W12" s="1">
        <f>VLOOKUP(Harztyp,Stammdaten!C$81:E$106,3,1)</f>
        <v>1.7</v>
      </c>
    </row>
    <row r="13" spans="1:23" s="1" customFormat="1" ht="15" outlineLevel="1">
      <c r="A13" s="178">
        <v>13</v>
      </c>
      <c r="B13" s="178">
        <v>3</v>
      </c>
      <c r="C13" s="226" t="s">
        <v>227</v>
      </c>
      <c r="D13" s="26">
        <v>8</v>
      </c>
      <c r="E13" s="25">
        <v>12</v>
      </c>
      <c r="F13" s="25">
        <v>18</v>
      </c>
      <c r="G13" s="25">
        <v>24</v>
      </c>
      <c r="H13" s="25">
        <f>HLOOKUP(Komplexitaet,Stammdaten!$D$4:$G$40,A13-3,0)*Fläche</f>
        <v>12.8</v>
      </c>
      <c r="I13" s="25">
        <v>3</v>
      </c>
      <c r="J13" s="234">
        <v>0.5</v>
      </c>
      <c r="K13" s="23">
        <v>0.81</v>
      </c>
      <c r="L13" s="9">
        <v>300</v>
      </c>
      <c r="M13" s="20">
        <v>0.45</v>
      </c>
      <c r="N13" s="219">
        <f t="shared" si="1"/>
        <v>249.33333333333337</v>
      </c>
      <c r="O13" s="234"/>
      <c r="P13" s="13">
        <v>0.5</v>
      </c>
      <c r="Q13" s="236">
        <v>0.7</v>
      </c>
      <c r="R13" s="22">
        <f t="shared" si="2"/>
        <v>0.54933333333333334</v>
      </c>
      <c r="S13" s="237" t="s">
        <v>139</v>
      </c>
      <c r="T13" s="240"/>
      <c r="U13" s="218">
        <f t="shared" si="3"/>
        <v>0.54611650485436891</v>
      </c>
      <c r="V13" s="1">
        <v>2.5</v>
      </c>
      <c r="W13" s="1">
        <f>VLOOKUP(Harztyp,Stammdaten!C$81:E$106,3,1)</f>
        <v>1.7</v>
      </c>
    </row>
    <row r="14" spans="1:23" s="1" customFormat="1" ht="15" outlineLevel="1">
      <c r="A14" s="178">
        <v>14</v>
      </c>
      <c r="B14" s="178">
        <v>3</v>
      </c>
      <c r="C14" s="226" t="s">
        <v>215</v>
      </c>
      <c r="D14" s="26">
        <v>12</v>
      </c>
      <c r="E14" s="25">
        <v>16</v>
      </c>
      <c r="F14" s="25">
        <v>22</v>
      </c>
      <c r="G14" s="25">
        <v>30</v>
      </c>
      <c r="H14" s="25">
        <f>HLOOKUP(Komplexitaet,Stammdaten!$D$4:$G$40,A14-3,0)*Fläche</f>
        <v>19.200000000000003</v>
      </c>
      <c r="I14" s="25">
        <v>3</v>
      </c>
      <c r="J14" s="234">
        <v>0.5</v>
      </c>
      <c r="K14" s="23">
        <v>0.97</v>
      </c>
      <c r="L14" s="9">
        <v>450</v>
      </c>
      <c r="M14" s="20">
        <v>0.45</v>
      </c>
      <c r="N14" s="219">
        <f t="shared" si="1"/>
        <v>374</v>
      </c>
      <c r="O14" s="234"/>
      <c r="P14" s="13">
        <v>0.5</v>
      </c>
      <c r="Q14" s="236">
        <v>0.9</v>
      </c>
      <c r="R14" s="22">
        <f t="shared" si="2"/>
        <v>0.82399999999999995</v>
      </c>
      <c r="S14" s="237" t="s">
        <v>139</v>
      </c>
      <c r="T14" s="240"/>
      <c r="U14" s="218">
        <f t="shared" si="3"/>
        <v>0.54611650485436891</v>
      </c>
      <c r="V14" s="1">
        <v>2.5</v>
      </c>
      <c r="W14" s="1">
        <f>VLOOKUP(Harztyp,Stammdaten!C$81:E$106,3,1)</f>
        <v>1.7</v>
      </c>
    </row>
    <row r="15" spans="1:23" s="1" customFormat="1" ht="15" outlineLevel="1">
      <c r="A15" s="178">
        <v>15</v>
      </c>
      <c r="B15" s="178">
        <v>3</v>
      </c>
      <c r="C15" s="226" t="s">
        <v>228</v>
      </c>
      <c r="D15" s="26">
        <v>7</v>
      </c>
      <c r="E15" s="25">
        <v>10</v>
      </c>
      <c r="F15" s="25">
        <v>13</v>
      </c>
      <c r="G15" s="25">
        <v>16</v>
      </c>
      <c r="H15" s="25">
        <f>HLOOKUP(Komplexitaet,Stammdaten!$D$4:$G$40,A15-3,0)*Fläche</f>
        <v>11.200000000000001</v>
      </c>
      <c r="I15" s="25">
        <v>3</v>
      </c>
      <c r="J15" s="234">
        <v>0.5</v>
      </c>
      <c r="K15" s="23">
        <v>2.75</v>
      </c>
      <c r="L15" s="9">
        <v>300</v>
      </c>
      <c r="M15" s="20">
        <v>0.45</v>
      </c>
      <c r="N15" s="219">
        <f t="shared" si="1"/>
        <v>249.33333333333337</v>
      </c>
      <c r="O15" s="234"/>
      <c r="P15" s="13">
        <v>0.5</v>
      </c>
      <c r="Q15" s="236">
        <v>0.4</v>
      </c>
      <c r="R15" s="22">
        <f t="shared" si="2"/>
        <v>0.54933333333333334</v>
      </c>
      <c r="S15" s="237" t="s">
        <v>140</v>
      </c>
      <c r="T15" s="240"/>
      <c r="U15" s="218">
        <f t="shared" si="3"/>
        <v>0.54611650485436891</v>
      </c>
      <c r="V15" s="1">
        <v>2.5</v>
      </c>
      <c r="W15" s="1">
        <f>VLOOKUP(Harztyp,Stammdaten!C$81:E$106,3,1)</f>
        <v>1.7</v>
      </c>
    </row>
    <row r="16" spans="1:23" s="1" customFormat="1" ht="15" outlineLevel="1">
      <c r="A16" s="178">
        <v>16</v>
      </c>
      <c r="B16" s="178">
        <v>3</v>
      </c>
      <c r="C16" s="226" t="s">
        <v>229</v>
      </c>
      <c r="D16" s="26">
        <v>9</v>
      </c>
      <c r="E16" s="25">
        <v>12</v>
      </c>
      <c r="F16" s="25">
        <v>15</v>
      </c>
      <c r="G16" s="25">
        <v>18</v>
      </c>
      <c r="H16" s="25">
        <f>HLOOKUP(Komplexitaet,Stammdaten!$D$4:$G$40,A16-3,0)*Fläche</f>
        <v>14.4</v>
      </c>
      <c r="I16" s="25">
        <v>3</v>
      </c>
      <c r="J16" s="234">
        <v>0.5</v>
      </c>
      <c r="K16" s="23">
        <v>2.1</v>
      </c>
      <c r="L16" s="9">
        <v>580</v>
      </c>
      <c r="M16" s="20">
        <v>0.45</v>
      </c>
      <c r="N16" s="219">
        <f t="shared" si="1"/>
        <v>482.04444444444448</v>
      </c>
      <c r="O16" s="234"/>
      <c r="P16" s="13">
        <v>0.5</v>
      </c>
      <c r="Q16" s="236">
        <v>0.8</v>
      </c>
      <c r="R16" s="22">
        <f t="shared" si="2"/>
        <v>1.0620444444444446</v>
      </c>
      <c r="S16" s="237" t="s">
        <v>140</v>
      </c>
      <c r="T16" s="240"/>
      <c r="U16" s="218">
        <f t="shared" si="3"/>
        <v>0.54611650485436891</v>
      </c>
      <c r="V16" s="1">
        <v>2.5</v>
      </c>
      <c r="W16" s="1">
        <f>VLOOKUP(Harztyp,Stammdaten!C$81:E$106,3,1)</f>
        <v>1.7</v>
      </c>
    </row>
    <row r="17" spans="1:23" s="1" customFormat="1" ht="15" customHeight="1" outlineLevel="1">
      <c r="A17" s="178">
        <v>17</v>
      </c>
      <c r="B17" s="178">
        <v>3</v>
      </c>
      <c r="C17" s="226" t="s">
        <v>230</v>
      </c>
      <c r="D17" s="26">
        <v>12</v>
      </c>
      <c r="E17" s="25">
        <v>15</v>
      </c>
      <c r="F17" s="25">
        <v>18</v>
      </c>
      <c r="G17" s="25">
        <v>21</v>
      </c>
      <c r="H17" s="25">
        <f>HLOOKUP(Komplexitaet,Stammdaten!$D$4:$G$40,A17-3,0)*Fläche</f>
        <v>19.200000000000003</v>
      </c>
      <c r="I17" s="25">
        <v>3</v>
      </c>
      <c r="J17" s="234">
        <v>0.5</v>
      </c>
      <c r="K17" s="23">
        <v>2.9</v>
      </c>
      <c r="L17" s="9">
        <v>900</v>
      </c>
      <c r="M17" s="20">
        <v>0.45</v>
      </c>
      <c r="N17" s="219">
        <f t="shared" si="1"/>
        <v>748</v>
      </c>
      <c r="O17" s="234"/>
      <c r="P17" s="13">
        <v>0.5</v>
      </c>
      <c r="Q17" s="236">
        <v>1.4</v>
      </c>
      <c r="R17" s="22">
        <f t="shared" si="2"/>
        <v>1.6479999999999999</v>
      </c>
      <c r="S17" s="237" t="s">
        <v>140</v>
      </c>
      <c r="T17" s="240"/>
      <c r="U17" s="218">
        <f t="shared" si="3"/>
        <v>0.54611650485436891</v>
      </c>
      <c r="V17" s="1">
        <v>2.5</v>
      </c>
      <c r="W17" s="1">
        <f>VLOOKUP(Harztyp,Stammdaten!C$81:E$106,3,1)</f>
        <v>1.7</v>
      </c>
    </row>
    <row r="18" spans="1:23" s="1" customFormat="1" ht="15" customHeight="1" outlineLevel="1">
      <c r="A18" s="178">
        <v>18</v>
      </c>
      <c r="B18" s="178">
        <v>3</v>
      </c>
      <c r="C18" s="226" t="s">
        <v>231</v>
      </c>
      <c r="D18" s="26">
        <v>7</v>
      </c>
      <c r="E18" s="25">
        <v>10</v>
      </c>
      <c r="F18" s="25">
        <v>13</v>
      </c>
      <c r="G18" s="25">
        <v>16</v>
      </c>
      <c r="H18" s="25">
        <f>HLOOKUP(Komplexitaet,Stammdaten!$D$4:$G$40,A18-3,0)*Fläche</f>
        <v>11.200000000000001</v>
      </c>
      <c r="I18" s="25">
        <v>3</v>
      </c>
      <c r="J18" s="234">
        <v>0.5</v>
      </c>
      <c r="K18" s="23">
        <v>14.16</v>
      </c>
      <c r="L18" s="9">
        <v>200</v>
      </c>
      <c r="M18" s="20">
        <v>0.5</v>
      </c>
      <c r="N18" s="219">
        <f t="shared" si="1"/>
        <v>188.88888888888886</v>
      </c>
      <c r="O18" s="234"/>
      <c r="P18" s="13">
        <v>0.5</v>
      </c>
      <c r="Q18" s="236">
        <v>0.4</v>
      </c>
      <c r="R18" s="22">
        <f t="shared" si="2"/>
        <v>0.38888888888888884</v>
      </c>
      <c r="S18" s="237" t="s">
        <v>140</v>
      </c>
      <c r="T18" s="240"/>
      <c r="U18" s="218">
        <f t="shared" si="3"/>
        <v>0.51428571428571435</v>
      </c>
      <c r="V18" s="186">
        <v>1.8</v>
      </c>
      <c r="W18" s="1">
        <f>VLOOKUP(Harztyp,Stammdaten!C$81:E$106,3,1)</f>
        <v>1.7</v>
      </c>
    </row>
    <row r="19" spans="1:23" s="1" customFormat="1" ht="15" customHeight="1" outlineLevel="1">
      <c r="A19" s="178">
        <v>19</v>
      </c>
      <c r="B19" s="178">
        <v>3</v>
      </c>
      <c r="C19" s="226" t="s">
        <v>216</v>
      </c>
      <c r="D19" s="26">
        <v>9</v>
      </c>
      <c r="E19" s="25">
        <v>12</v>
      </c>
      <c r="F19" s="25">
        <v>15</v>
      </c>
      <c r="G19" s="25">
        <v>18</v>
      </c>
      <c r="H19" s="25">
        <f>HLOOKUP(Komplexitaet,Stammdaten!$D$4:$G$40,A19-3,0)*Fläche</f>
        <v>14.4</v>
      </c>
      <c r="I19" s="25">
        <v>3</v>
      </c>
      <c r="J19" s="234">
        <v>0.5</v>
      </c>
      <c r="K19" s="23">
        <v>18.239999999999998</v>
      </c>
      <c r="L19" s="9">
        <v>400</v>
      </c>
      <c r="M19" s="20">
        <v>0.5</v>
      </c>
      <c r="N19" s="219">
        <f t="shared" si="1"/>
        <v>377.77777777777771</v>
      </c>
      <c r="O19" s="234"/>
      <c r="P19" s="13">
        <v>0.5</v>
      </c>
      <c r="Q19" s="236">
        <v>0.6</v>
      </c>
      <c r="R19" s="22">
        <f t="shared" si="2"/>
        <v>0.77777777777777768</v>
      </c>
      <c r="S19" s="237" t="s">
        <v>140</v>
      </c>
      <c r="T19" s="240"/>
      <c r="U19" s="218">
        <f t="shared" si="3"/>
        <v>0.51428571428571435</v>
      </c>
      <c r="V19" s="186">
        <v>1.8</v>
      </c>
      <c r="W19" s="1">
        <f>VLOOKUP(Harztyp,Stammdaten!C$81:E$106,3,1)</f>
        <v>1.7</v>
      </c>
    </row>
    <row r="20" spans="1:23" s="1" customFormat="1" ht="15" customHeight="1" outlineLevel="1">
      <c r="A20" s="178">
        <v>20</v>
      </c>
      <c r="B20" s="178">
        <v>3</v>
      </c>
      <c r="C20" s="226" t="s">
        <v>232</v>
      </c>
      <c r="D20" s="26">
        <v>12</v>
      </c>
      <c r="E20" s="25">
        <v>15</v>
      </c>
      <c r="F20" s="25">
        <v>18</v>
      </c>
      <c r="G20" s="25">
        <v>21</v>
      </c>
      <c r="H20" s="25">
        <f>HLOOKUP(Komplexitaet,Stammdaten!$D$4:$G$40,A20-3,0)*Fläche</f>
        <v>19.200000000000003</v>
      </c>
      <c r="I20" s="25">
        <v>3</v>
      </c>
      <c r="J20" s="234">
        <v>0.5</v>
      </c>
      <c r="K20" s="23">
        <v>19</v>
      </c>
      <c r="L20" s="9">
        <v>600</v>
      </c>
      <c r="M20" s="20">
        <v>0.5</v>
      </c>
      <c r="N20" s="219">
        <f t="shared" si="1"/>
        <v>566.66666666666652</v>
      </c>
      <c r="O20" s="234"/>
      <c r="P20" s="13">
        <v>0.5</v>
      </c>
      <c r="Q20" s="236">
        <v>0.8</v>
      </c>
      <c r="R20" s="22">
        <f t="shared" si="2"/>
        <v>1.1666666666666665</v>
      </c>
      <c r="S20" s="237" t="s">
        <v>140</v>
      </c>
      <c r="T20" s="240"/>
      <c r="U20" s="218">
        <f t="shared" si="3"/>
        <v>0.51428571428571435</v>
      </c>
      <c r="V20" s="186">
        <v>1.8</v>
      </c>
      <c r="W20" s="1">
        <f>VLOOKUP(Harztyp,Stammdaten!C$81:E$106,3,1)</f>
        <v>1.7</v>
      </c>
    </row>
    <row r="21" spans="1:23" s="1" customFormat="1" ht="15" outlineLevel="1">
      <c r="A21" s="178">
        <v>21</v>
      </c>
      <c r="B21" s="178">
        <v>3</v>
      </c>
      <c r="C21" s="226" t="s">
        <v>64</v>
      </c>
      <c r="D21" s="26">
        <v>15</v>
      </c>
      <c r="E21" s="25">
        <v>20</v>
      </c>
      <c r="F21" s="25">
        <v>25</v>
      </c>
      <c r="G21" s="25">
        <v>35</v>
      </c>
      <c r="H21" s="25">
        <f>HLOOKUP(Komplexitaet,Stammdaten!$D$4:$G$40,A21-3,0)*Fläche</f>
        <v>24</v>
      </c>
      <c r="I21" s="25">
        <v>10</v>
      </c>
      <c r="J21" s="234">
        <v>4</v>
      </c>
      <c r="K21" s="23">
        <v>0.97</v>
      </c>
      <c r="L21" s="9">
        <v>450</v>
      </c>
      <c r="M21" s="20">
        <v>0.26</v>
      </c>
      <c r="N21" s="219">
        <f t="shared" si="1"/>
        <v>870.92307692307656</v>
      </c>
      <c r="O21" s="234"/>
      <c r="P21" s="13">
        <v>0.5</v>
      </c>
      <c r="Q21" s="236">
        <v>1.2</v>
      </c>
      <c r="R21" s="22">
        <f t="shared" si="2"/>
        <v>1.3209230769230766</v>
      </c>
      <c r="S21" s="237" t="s">
        <v>141</v>
      </c>
      <c r="T21" s="240"/>
      <c r="U21" s="218">
        <f t="shared" si="3"/>
        <v>0.34067085953878412</v>
      </c>
      <c r="V21" s="1">
        <v>2.5</v>
      </c>
      <c r="W21" s="1">
        <f>VLOOKUP(Harztyp,Stammdaten!C$81:E$106,3,1)</f>
        <v>1.7</v>
      </c>
    </row>
    <row r="22" spans="1:23" s="1" customFormat="1" ht="15" outlineLevel="1">
      <c r="A22" s="178">
        <v>22</v>
      </c>
      <c r="B22" s="178">
        <v>2</v>
      </c>
      <c r="C22" s="226" t="s">
        <v>26</v>
      </c>
      <c r="D22" s="26">
        <v>2</v>
      </c>
      <c r="E22" s="25">
        <v>5</v>
      </c>
      <c r="F22" s="25">
        <v>10</v>
      </c>
      <c r="G22" s="25">
        <v>20</v>
      </c>
      <c r="H22" s="25">
        <f>HLOOKUP(Komplexitaet,Stammdaten!$D$4:$G$40,A22-3,0)*Fläche*1.2</f>
        <v>3.84</v>
      </c>
      <c r="I22" s="25">
        <v>10</v>
      </c>
      <c r="J22" s="234">
        <v>0.5</v>
      </c>
      <c r="K22" s="13"/>
      <c r="L22" s="13"/>
      <c r="M22" s="13"/>
      <c r="N22" s="13"/>
      <c r="O22" s="234">
        <v>1.2</v>
      </c>
      <c r="P22" s="13">
        <v>0.8</v>
      </c>
      <c r="Q22" s="236"/>
      <c r="R22" s="22"/>
      <c r="S22" s="237" t="s">
        <v>142</v>
      </c>
      <c r="T22" s="240"/>
    </row>
    <row r="23" spans="1:23" s="1" customFormat="1" ht="15" outlineLevel="1">
      <c r="A23" s="178">
        <v>23</v>
      </c>
      <c r="B23" s="178">
        <v>3</v>
      </c>
      <c r="C23" s="226" t="s">
        <v>1</v>
      </c>
      <c r="D23" s="26">
        <v>2</v>
      </c>
      <c r="E23" s="25">
        <v>4</v>
      </c>
      <c r="F23" s="25">
        <v>8</v>
      </c>
      <c r="G23" s="25">
        <v>10</v>
      </c>
      <c r="H23" s="25">
        <f>HLOOKUP(Komplexitaet,Stammdaten!$D$4:$G$40,A23-3,0)*Fläche</f>
        <v>3.2</v>
      </c>
      <c r="I23" s="25">
        <v>5</v>
      </c>
      <c r="J23" s="234">
        <v>1</v>
      </c>
      <c r="K23" s="13">
        <f>D62*0.1</f>
        <v>1.4000000000000001</v>
      </c>
      <c r="L23" s="13"/>
      <c r="M23" s="13"/>
      <c r="N23" s="13"/>
      <c r="O23" s="234">
        <v>0.2</v>
      </c>
      <c r="P23" s="13"/>
      <c r="Q23" s="236"/>
      <c r="R23" s="22"/>
      <c r="S23" s="237" t="s">
        <v>143</v>
      </c>
      <c r="T23" s="240"/>
    </row>
    <row r="24" spans="1:23" s="1" customFormat="1" ht="15" outlineLevel="1">
      <c r="A24" s="178">
        <v>24</v>
      </c>
      <c r="B24" s="178">
        <v>3</v>
      </c>
      <c r="C24" s="226" t="s">
        <v>20</v>
      </c>
      <c r="D24" s="26">
        <v>3</v>
      </c>
      <c r="E24" s="25">
        <v>6</v>
      </c>
      <c r="F24" s="25">
        <v>9</v>
      </c>
      <c r="G24" s="25">
        <v>12</v>
      </c>
      <c r="H24" s="25">
        <f>HLOOKUP(Komplexitaet,Stammdaten!$D$4:$G$40,A24-3,0)*Fläche</f>
        <v>4.8000000000000007</v>
      </c>
      <c r="I24" s="25">
        <v>5</v>
      </c>
      <c r="J24" s="234">
        <v>0.5</v>
      </c>
      <c r="K24" s="13">
        <v>0.2</v>
      </c>
      <c r="L24" s="13"/>
      <c r="M24" s="13"/>
      <c r="N24" s="13"/>
      <c r="O24" s="234">
        <v>0.2</v>
      </c>
      <c r="P24" s="13"/>
      <c r="Q24" s="236"/>
      <c r="R24" s="22"/>
      <c r="S24" s="237" t="s">
        <v>143</v>
      </c>
      <c r="T24" s="240"/>
    </row>
    <row r="25" spans="1:23" s="1" customFormat="1" ht="15" outlineLevel="1">
      <c r="A25" s="178">
        <v>25</v>
      </c>
      <c r="B25" s="178">
        <v>3</v>
      </c>
      <c r="C25" s="226" t="s">
        <v>295</v>
      </c>
      <c r="D25" s="26">
        <v>2</v>
      </c>
      <c r="E25" s="25">
        <v>3</v>
      </c>
      <c r="F25" s="25">
        <v>4</v>
      </c>
      <c r="G25" s="25">
        <v>6</v>
      </c>
      <c r="H25" s="25">
        <f>HLOOKUP(Komplexitaet,Stammdaten!$D$4:$G$40,A25-3,0)*Fläche</f>
        <v>3.2</v>
      </c>
      <c r="I25" s="25">
        <v>7</v>
      </c>
      <c r="J25" s="234">
        <v>0.5</v>
      </c>
      <c r="K25" s="393">
        <f>R25*Ablauf!$A$4</f>
        <v>2.04</v>
      </c>
      <c r="L25" s="13"/>
      <c r="M25" s="13"/>
      <c r="N25" s="13"/>
      <c r="O25" s="234">
        <v>5</v>
      </c>
      <c r="P25" s="13">
        <v>0.8</v>
      </c>
      <c r="Q25" s="236">
        <v>0.3</v>
      </c>
      <c r="R25" s="22">
        <v>0.4</v>
      </c>
      <c r="S25" s="237" t="s">
        <v>144</v>
      </c>
      <c r="T25" s="240"/>
    </row>
    <row r="26" spans="1:23" s="1" customFormat="1" ht="15" outlineLevel="1">
      <c r="A26" s="178">
        <v>26</v>
      </c>
      <c r="B26" s="178">
        <v>3</v>
      </c>
      <c r="C26" s="226" t="s">
        <v>296</v>
      </c>
      <c r="D26" s="26">
        <v>4</v>
      </c>
      <c r="E26" s="25">
        <v>5</v>
      </c>
      <c r="F26" s="25">
        <v>8</v>
      </c>
      <c r="G26" s="25">
        <v>10</v>
      </c>
      <c r="H26" s="25">
        <f>HLOOKUP(Komplexitaet,Stammdaten!$D$4:$G$40,A26-3,0)*Fläche</f>
        <v>6.4</v>
      </c>
      <c r="I26" s="25">
        <v>5</v>
      </c>
      <c r="J26" s="234">
        <v>0.5</v>
      </c>
      <c r="K26" s="393">
        <f>R26*Ablauf!$A$4</f>
        <v>4.08</v>
      </c>
      <c r="L26" s="13"/>
      <c r="M26" s="13"/>
      <c r="N26" s="13"/>
      <c r="O26" s="234">
        <v>1</v>
      </c>
      <c r="P26" s="13">
        <v>1</v>
      </c>
      <c r="Q26" s="236">
        <v>0.5</v>
      </c>
      <c r="R26" s="22">
        <v>0.8</v>
      </c>
      <c r="S26" s="237" t="s">
        <v>144</v>
      </c>
      <c r="T26" s="240"/>
    </row>
    <row r="27" spans="1:23" s="1" customFormat="1" ht="15" customHeight="1" outlineLevel="1">
      <c r="A27" s="178">
        <v>27</v>
      </c>
      <c r="B27" s="178">
        <v>3</v>
      </c>
      <c r="C27" s="226" t="s">
        <v>21</v>
      </c>
      <c r="D27" s="26">
        <v>0</v>
      </c>
      <c r="E27" s="25">
        <v>0.5</v>
      </c>
      <c r="F27" s="25">
        <v>0.8</v>
      </c>
      <c r="G27" s="25">
        <v>1</v>
      </c>
      <c r="H27" s="25">
        <f>HLOOKUP(Komplexitaet,Stammdaten!$D$4:$G$40,A27-3,0)*Fläche</f>
        <v>0</v>
      </c>
      <c r="I27" s="25">
        <v>5</v>
      </c>
      <c r="J27" s="234">
        <v>4</v>
      </c>
      <c r="K27" s="13"/>
      <c r="L27" s="13"/>
      <c r="M27" s="13"/>
      <c r="N27" s="13"/>
      <c r="O27" s="234">
        <v>4</v>
      </c>
      <c r="P27" s="13"/>
      <c r="Q27" s="236"/>
      <c r="R27" s="22"/>
      <c r="S27" s="237" t="s">
        <v>145</v>
      </c>
      <c r="T27" s="240"/>
    </row>
    <row r="28" spans="1:23" s="1" customFormat="1" ht="15" outlineLevel="1">
      <c r="A28" s="178">
        <v>28</v>
      </c>
      <c r="B28" s="178">
        <v>3</v>
      </c>
      <c r="C28" s="226" t="s">
        <v>2</v>
      </c>
      <c r="D28" s="26">
        <v>1</v>
      </c>
      <c r="E28" s="25">
        <v>2</v>
      </c>
      <c r="F28" s="25">
        <v>4</v>
      </c>
      <c r="G28" s="25">
        <v>8</v>
      </c>
      <c r="H28" s="25">
        <f>HLOOKUP(Komplexitaet,Stammdaten!$D$4:$G$40,A28-3,0)*Fläche</f>
        <v>1.6</v>
      </c>
      <c r="I28" s="25">
        <v>10</v>
      </c>
      <c r="J28" s="234">
        <v>3</v>
      </c>
      <c r="K28" s="13"/>
      <c r="L28" s="13"/>
      <c r="M28" s="13"/>
      <c r="N28" s="13"/>
      <c r="O28" s="234">
        <v>0.5</v>
      </c>
      <c r="P28" s="13">
        <v>1</v>
      </c>
      <c r="Q28" s="236"/>
      <c r="R28" s="22"/>
      <c r="S28" s="237" t="s">
        <v>72</v>
      </c>
      <c r="T28" s="240"/>
    </row>
    <row r="29" spans="1:23" s="1" customFormat="1" ht="15" outlineLevel="1">
      <c r="A29" s="178">
        <v>29</v>
      </c>
      <c r="B29" s="178">
        <v>4</v>
      </c>
      <c r="C29" s="226" t="s">
        <v>53</v>
      </c>
      <c r="D29" s="26">
        <v>2</v>
      </c>
      <c r="E29" s="25">
        <v>4</v>
      </c>
      <c r="F29" s="25">
        <v>6</v>
      </c>
      <c r="G29" s="25">
        <v>10</v>
      </c>
      <c r="H29" s="25">
        <f>HLOOKUP(Komplexitaet,Stammdaten!$D$4:$G$40,A29-3,0)*Umfang</f>
        <v>8</v>
      </c>
      <c r="I29" s="25">
        <v>10</v>
      </c>
      <c r="J29" s="234">
        <v>3</v>
      </c>
      <c r="K29" s="13">
        <v>0.5</v>
      </c>
      <c r="L29" s="13"/>
      <c r="M29" s="13"/>
      <c r="N29" s="13"/>
      <c r="O29" s="234">
        <v>2</v>
      </c>
      <c r="P29" s="13">
        <v>0.2</v>
      </c>
      <c r="Q29" s="236"/>
      <c r="R29" s="22"/>
      <c r="S29" s="237" t="s">
        <v>73</v>
      </c>
      <c r="T29" s="240"/>
    </row>
    <row r="30" spans="1:23" s="1" customFormat="1" ht="15" outlineLevel="1">
      <c r="A30" s="178">
        <v>30</v>
      </c>
      <c r="B30" s="178">
        <v>5</v>
      </c>
      <c r="C30" s="226" t="s">
        <v>51</v>
      </c>
      <c r="D30" s="26">
        <v>10</v>
      </c>
      <c r="E30" s="25">
        <v>20</v>
      </c>
      <c r="F30" s="25">
        <v>30</v>
      </c>
      <c r="G30" s="25">
        <v>60</v>
      </c>
      <c r="H30" s="25">
        <f>HLOOKUP(Komplexitaet,Stammdaten!$D$4:$G$40,A30-3,0)</f>
        <v>10</v>
      </c>
      <c r="I30" s="25">
        <v>10</v>
      </c>
      <c r="J30" s="234"/>
      <c r="K30" s="13"/>
      <c r="L30" s="13"/>
      <c r="M30" s="13"/>
      <c r="N30" s="13"/>
      <c r="O30" s="234"/>
      <c r="P30" s="13"/>
      <c r="Q30" s="236"/>
      <c r="R30" s="22"/>
      <c r="S30" s="237" t="s">
        <v>74</v>
      </c>
      <c r="T30" s="240"/>
    </row>
    <row r="31" spans="1:23" s="1" customFormat="1" ht="15" outlineLevel="1">
      <c r="A31" s="178">
        <v>31</v>
      </c>
      <c r="B31" s="178">
        <v>6</v>
      </c>
      <c r="C31" s="226" t="s">
        <v>39</v>
      </c>
      <c r="D31" s="26">
        <v>5</v>
      </c>
      <c r="E31" s="25">
        <v>10</v>
      </c>
      <c r="F31" s="25">
        <v>15</v>
      </c>
      <c r="G31" s="25">
        <v>20</v>
      </c>
      <c r="H31" s="25">
        <f>HLOOKUP(Komplexitaet,Stammdaten!$D$4:$G$40,A31-3,0)</f>
        <v>5</v>
      </c>
      <c r="I31" s="25">
        <v>5</v>
      </c>
      <c r="J31" s="234">
        <v>4</v>
      </c>
      <c r="K31" s="13"/>
      <c r="L31" s="13"/>
      <c r="M31" s="13"/>
      <c r="N31" s="13"/>
      <c r="O31" s="234"/>
      <c r="P31" s="13">
        <v>2</v>
      </c>
      <c r="Q31" s="236"/>
      <c r="R31" s="22"/>
      <c r="S31" s="237" t="s">
        <v>75</v>
      </c>
      <c r="T31" s="240"/>
    </row>
    <row r="32" spans="1:23" s="1" customFormat="1" ht="15" outlineLevel="1">
      <c r="A32" s="178">
        <v>32</v>
      </c>
      <c r="B32" s="178">
        <v>7</v>
      </c>
      <c r="C32" s="226" t="s">
        <v>52</v>
      </c>
      <c r="D32" s="26">
        <v>5</v>
      </c>
      <c r="E32" s="25">
        <v>10</v>
      </c>
      <c r="F32" s="25">
        <v>15</v>
      </c>
      <c r="G32" s="25">
        <v>20</v>
      </c>
      <c r="H32" s="25">
        <f>HLOOKUP(Komplexitaet,Stammdaten!$D$4:$G$40,A32-3,0)</f>
        <v>5</v>
      </c>
      <c r="I32" s="25">
        <v>5</v>
      </c>
      <c r="J32" s="234">
        <v>4</v>
      </c>
      <c r="K32" s="13"/>
      <c r="L32" s="13"/>
      <c r="M32" s="13"/>
      <c r="N32" s="13"/>
      <c r="O32" s="234"/>
      <c r="P32" s="13">
        <v>2</v>
      </c>
      <c r="Q32" s="236"/>
      <c r="R32" s="22"/>
      <c r="S32" s="237" t="s">
        <v>146</v>
      </c>
      <c r="T32" s="240"/>
    </row>
    <row r="33" spans="1:20" s="1" customFormat="1" ht="15" outlineLevel="1">
      <c r="A33" s="178">
        <v>33</v>
      </c>
      <c r="B33" s="178">
        <v>3</v>
      </c>
      <c r="C33" s="226" t="s">
        <v>6</v>
      </c>
      <c r="D33" s="26">
        <v>2</v>
      </c>
      <c r="E33" s="25">
        <v>3</v>
      </c>
      <c r="F33" s="25">
        <v>4</v>
      </c>
      <c r="G33" s="25">
        <v>6</v>
      </c>
      <c r="H33" s="25">
        <f>HLOOKUP(Komplexitaet,Stammdaten!$D$4:$G$40,A33-3,0)*Fläche</f>
        <v>3.2</v>
      </c>
      <c r="I33" s="25">
        <v>7</v>
      </c>
      <c r="J33" s="234">
        <v>0.5</v>
      </c>
      <c r="K33" s="393">
        <f>R33*Ablauf!$A$6</f>
        <v>2.04</v>
      </c>
      <c r="L33" s="13"/>
      <c r="M33" s="13"/>
      <c r="N33" s="13"/>
      <c r="O33" s="234">
        <v>5</v>
      </c>
      <c r="P33" s="13">
        <v>0.8</v>
      </c>
      <c r="Q33" s="236">
        <v>0.3</v>
      </c>
      <c r="R33" s="22">
        <v>0.4</v>
      </c>
      <c r="S33" s="237" t="s">
        <v>147</v>
      </c>
      <c r="T33" s="240"/>
    </row>
    <row r="34" spans="1:20" s="1" customFormat="1" ht="15" outlineLevel="1">
      <c r="A34" s="178">
        <v>34</v>
      </c>
      <c r="B34" s="178">
        <v>3</v>
      </c>
      <c r="C34" s="226" t="s">
        <v>7</v>
      </c>
      <c r="D34" s="26">
        <v>4</v>
      </c>
      <c r="E34" s="25">
        <v>6</v>
      </c>
      <c r="F34" s="25">
        <v>8</v>
      </c>
      <c r="G34" s="25">
        <v>12</v>
      </c>
      <c r="H34" s="25">
        <f>HLOOKUP(Komplexitaet,Stammdaten!$D$4:$G$40,A34-3,0)*Fläche</f>
        <v>6.4</v>
      </c>
      <c r="I34" s="25">
        <v>5</v>
      </c>
      <c r="J34" s="234">
        <v>0.5</v>
      </c>
      <c r="K34" s="393">
        <f>R34*Ablauf!$A$6</f>
        <v>4.08</v>
      </c>
      <c r="L34" s="13"/>
      <c r="M34" s="13"/>
      <c r="N34" s="13"/>
      <c r="O34" s="234">
        <v>1</v>
      </c>
      <c r="P34" s="13">
        <v>1</v>
      </c>
      <c r="Q34" s="236">
        <v>0.5</v>
      </c>
      <c r="R34" s="22">
        <v>0.8</v>
      </c>
      <c r="S34" s="237" t="s">
        <v>147</v>
      </c>
      <c r="T34" s="240"/>
    </row>
    <row r="35" spans="1:20" s="1" customFormat="1" ht="15" outlineLevel="1">
      <c r="A35" s="191">
        <v>35</v>
      </c>
      <c r="B35" s="191">
        <v>3</v>
      </c>
      <c r="C35" s="226" t="s">
        <v>70</v>
      </c>
      <c r="D35" s="26">
        <v>8</v>
      </c>
      <c r="E35" s="25">
        <v>12</v>
      </c>
      <c r="F35" s="25">
        <v>16</v>
      </c>
      <c r="G35" s="25">
        <v>24</v>
      </c>
      <c r="H35" s="25">
        <f>HLOOKUP(Komplexitaet,Stammdaten!$D$4:$G$40,A35-3,0)*Fläche</f>
        <v>12.8</v>
      </c>
      <c r="I35" s="25">
        <v>10</v>
      </c>
      <c r="J35" s="234">
        <v>10</v>
      </c>
      <c r="K35" s="393">
        <f>R35*(D63)</f>
        <v>160</v>
      </c>
      <c r="L35" s="13"/>
      <c r="M35" s="13"/>
      <c r="N35" s="13"/>
      <c r="O35" s="234">
        <v>10</v>
      </c>
      <c r="P35" s="13">
        <v>15</v>
      </c>
      <c r="Q35" s="236">
        <v>2</v>
      </c>
      <c r="R35" s="22">
        <v>0.5</v>
      </c>
      <c r="S35" s="237" t="s">
        <v>148</v>
      </c>
      <c r="T35" s="240"/>
    </row>
    <row r="36" spans="1:20" s="1" customFormat="1" ht="15" customHeight="1" outlineLevel="1">
      <c r="A36" s="191">
        <v>36</v>
      </c>
      <c r="B36" s="191">
        <v>3</v>
      </c>
      <c r="C36" s="226" t="s">
        <v>8</v>
      </c>
      <c r="D36" s="26">
        <v>2</v>
      </c>
      <c r="E36" s="25">
        <v>4</v>
      </c>
      <c r="F36" s="25">
        <v>6</v>
      </c>
      <c r="G36" s="25">
        <v>8</v>
      </c>
      <c r="H36" s="25">
        <f>HLOOKUP(Komplexitaet,Stammdaten!$D$4:$G$40,A36-3,0)*Fläche</f>
        <v>3.2</v>
      </c>
      <c r="I36" s="25">
        <v>10</v>
      </c>
      <c r="J36" s="234">
        <v>1.5</v>
      </c>
      <c r="K36" s="13">
        <v>1</v>
      </c>
      <c r="L36" s="13"/>
      <c r="M36" s="13"/>
      <c r="N36" s="13"/>
      <c r="O36" s="234">
        <v>1</v>
      </c>
      <c r="P36" s="13">
        <v>4</v>
      </c>
      <c r="Q36" s="236">
        <v>1</v>
      </c>
      <c r="R36" s="22">
        <v>0.2</v>
      </c>
      <c r="S36" s="237" t="s">
        <v>152</v>
      </c>
      <c r="T36" s="240"/>
    </row>
    <row r="37" spans="1:20" s="1" customFormat="1" ht="15" outlineLevel="1">
      <c r="A37" s="191">
        <v>37</v>
      </c>
      <c r="B37" s="191">
        <v>3</v>
      </c>
      <c r="C37" s="226" t="s">
        <v>71</v>
      </c>
      <c r="D37" s="26">
        <v>15</v>
      </c>
      <c r="E37" s="25">
        <v>20</v>
      </c>
      <c r="F37" s="25">
        <v>25</v>
      </c>
      <c r="G37" s="25">
        <v>35</v>
      </c>
      <c r="H37" s="25">
        <f>HLOOKUP(Komplexitaet,Stammdaten!$D$4:$G$40,A37-3,0)*Fläche</f>
        <v>24</v>
      </c>
      <c r="I37" s="25">
        <v>10</v>
      </c>
      <c r="J37" s="234">
        <v>2</v>
      </c>
      <c r="K37" s="13"/>
      <c r="L37" s="13"/>
      <c r="M37" s="13"/>
      <c r="N37" s="13"/>
      <c r="O37" s="234">
        <v>2</v>
      </c>
      <c r="P37" s="13"/>
      <c r="Q37" s="236"/>
      <c r="R37" s="22"/>
      <c r="S37" s="237" t="s">
        <v>151</v>
      </c>
      <c r="T37" s="240"/>
    </row>
    <row r="38" spans="1:20" s="1" customFormat="1" ht="15" outlineLevel="1">
      <c r="A38" s="178">
        <v>38</v>
      </c>
      <c r="B38" s="178">
        <v>3</v>
      </c>
      <c r="C38" s="226" t="s">
        <v>222</v>
      </c>
      <c r="D38" s="26">
        <v>4</v>
      </c>
      <c r="E38" s="25">
        <v>6</v>
      </c>
      <c r="F38" s="25">
        <v>8</v>
      </c>
      <c r="G38" s="25">
        <v>10</v>
      </c>
      <c r="H38" s="25">
        <f>HLOOKUP(Komplexitaet,Stammdaten!$D$4:$G$40,A38-3,0)*Fläche</f>
        <v>6.4</v>
      </c>
      <c r="I38" s="25"/>
      <c r="J38" s="234"/>
      <c r="K38" s="13"/>
      <c r="L38" s="13"/>
      <c r="M38" s="13"/>
      <c r="N38" s="13"/>
      <c r="O38" s="234"/>
      <c r="P38" s="13"/>
      <c r="Q38" s="236"/>
      <c r="R38" s="22"/>
      <c r="S38" s="237"/>
      <c r="T38" s="240"/>
    </row>
    <row r="39" spans="1:20" s="1" customFormat="1" ht="15" outlineLevel="1">
      <c r="A39" s="178">
        <v>39</v>
      </c>
      <c r="B39" s="178">
        <v>3</v>
      </c>
      <c r="C39" s="226" t="s">
        <v>23</v>
      </c>
      <c r="D39" s="26">
        <v>4</v>
      </c>
      <c r="E39" s="25">
        <v>6</v>
      </c>
      <c r="F39" s="25">
        <v>8</v>
      </c>
      <c r="G39" s="25">
        <v>10</v>
      </c>
      <c r="H39" s="25">
        <f>HLOOKUP(Komplexitaet,Stammdaten!$D$4:$G$40,A39-3,0)*Fläche</f>
        <v>6.4</v>
      </c>
      <c r="I39" s="25">
        <v>10</v>
      </c>
      <c r="J39" s="234">
        <v>3</v>
      </c>
      <c r="K39" s="13">
        <f>SUM(D109:D111)</f>
        <v>1.6</v>
      </c>
      <c r="L39" s="13"/>
      <c r="M39" s="13"/>
      <c r="N39" s="13"/>
      <c r="O39" s="234">
        <v>6</v>
      </c>
      <c r="P39" s="13">
        <v>1</v>
      </c>
      <c r="Q39" s="236"/>
      <c r="R39" s="22"/>
      <c r="S39" s="237" t="s">
        <v>149</v>
      </c>
      <c r="T39" s="240"/>
    </row>
    <row r="40" spans="1:20" s="1" customFormat="1" ht="15" outlineLevel="1">
      <c r="A40" s="178">
        <v>40</v>
      </c>
      <c r="B40" s="178">
        <v>3</v>
      </c>
      <c r="C40" s="226" t="s">
        <v>22</v>
      </c>
      <c r="D40" s="26">
        <v>5</v>
      </c>
      <c r="E40" s="25">
        <v>7</v>
      </c>
      <c r="F40" s="25">
        <v>9</v>
      </c>
      <c r="G40" s="25">
        <v>11</v>
      </c>
      <c r="H40" s="25">
        <f>HLOOKUP(Komplexitaet,Stammdaten!$D$4:$G$40,A40-3,0)*Fläche</f>
        <v>8</v>
      </c>
      <c r="I40" s="25">
        <v>10</v>
      </c>
      <c r="J40" s="234">
        <v>3</v>
      </c>
      <c r="K40" s="13">
        <v>1</v>
      </c>
      <c r="L40" s="13"/>
      <c r="M40" s="13"/>
      <c r="N40" s="13"/>
      <c r="O40" s="234">
        <v>8</v>
      </c>
      <c r="P40" s="13">
        <v>1</v>
      </c>
      <c r="Q40" s="236"/>
      <c r="R40" s="22"/>
      <c r="S40" s="237" t="s">
        <v>150</v>
      </c>
      <c r="T40" s="240"/>
    </row>
    <row r="41" spans="1:20" s="1" customFormat="1" ht="15" outlineLevel="1">
      <c r="A41" s="178">
        <v>41</v>
      </c>
      <c r="B41" s="178"/>
      <c r="C41" s="226"/>
      <c r="D41" s="26"/>
      <c r="E41" s="25"/>
      <c r="F41" s="25"/>
      <c r="G41" s="25"/>
      <c r="H41" s="25"/>
      <c r="I41" s="25"/>
      <c r="J41" s="234"/>
      <c r="K41" s="13"/>
      <c r="L41" s="13"/>
      <c r="M41" s="13"/>
      <c r="N41" s="13"/>
      <c r="O41" s="234"/>
      <c r="P41" s="13"/>
      <c r="Q41" s="236"/>
      <c r="R41" s="22"/>
      <c r="S41" s="237"/>
      <c r="T41" s="240"/>
    </row>
    <row r="42" spans="1:20" s="1" customFormat="1" ht="15" outlineLevel="1">
      <c r="A42" s="178">
        <v>42</v>
      </c>
      <c r="B42" s="178"/>
      <c r="C42" s="226"/>
      <c r="D42" s="26"/>
      <c r="E42" s="25"/>
      <c r="F42" s="25"/>
      <c r="G42" s="25"/>
      <c r="H42" s="25"/>
      <c r="I42" s="25"/>
      <c r="J42" s="234"/>
      <c r="K42" s="13"/>
      <c r="L42" s="13"/>
      <c r="M42" s="13"/>
      <c r="N42" s="13"/>
      <c r="O42" s="234"/>
      <c r="P42" s="13"/>
      <c r="Q42" s="236"/>
      <c r="R42" s="22"/>
      <c r="S42" s="237"/>
      <c r="T42" s="240"/>
    </row>
    <row r="43" spans="1:20" s="1" customFormat="1" ht="15" outlineLevel="1">
      <c r="A43" s="178">
        <v>43</v>
      </c>
      <c r="B43" s="178"/>
      <c r="C43" s="226"/>
      <c r="D43" s="26"/>
      <c r="E43" s="25"/>
      <c r="F43" s="25"/>
      <c r="G43" s="25"/>
      <c r="H43" s="25"/>
      <c r="I43" s="25"/>
      <c r="J43" s="234"/>
      <c r="K43" s="13"/>
      <c r="L43" s="13"/>
      <c r="M43" s="13"/>
      <c r="N43" s="13"/>
      <c r="O43" s="234"/>
      <c r="P43" s="13"/>
      <c r="Q43" s="236"/>
      <c r="R43" s="22"/>
      <c r="S43" s="237"/>
      <c r="T43" s="240"/>
    </row>
    <row r="44" spans="1:20" s="1" customFormat="1" ht="15" outlineLevel="1">
      <c r="A44" s="178">
        <v>44</v>
      </c>
      <c r="B44" s="178"/>
      <c r="C44" s="226"/>
      <c r="D44" s="26"/>
      <c r="E44" s="25"/>
      <c r="F44" s="25"/>
      <c r="G44" s="25"/>
      <c r="H44" s="25"/>
      <c r="I44" s="25"/>
      <c r="J44" s="234"/>
      <c r="K44" s="13"/>
      <c r="L44" s="13"/>
      <c r="M44" s="13"/>
      <c r="N44" s="13"/>
      <c r="O44" s="234"/>
      <c r="P44" s="13"/>
      <c r="Q44" s="236"/>
      <c r="R44" s="22"/>
      <c r="S44" s="237"/>
      <c r="T44" s="240"/>
    </row>
    <row r="45" spans="1:20" s="1" customFormat="1" ht="15" outlineLevel="1">
      <c r="A45" s="178">
        <v>45</v>
      </c>
      <c r="B45" s="178"/>
      <c r="C45" s="226"/>
      <c r="D45" s="26"/>
      <c r="E45" s="25"/>
      <c r="F45" s="25"/>
      <c r="G45" s="25"/>
      <c r="H45" s="25"/>
      <c r="I45" s="25"/>
      <c r="J45" s="234"/>
      <c r="K45" s="13"/>
      <c r="L45" s="13"/>
      <c r="M45" s="13"/>
      <c r="N45" s="13"/>
      <c r="O45" s="234"/>
      <c r="P45" s="13"/>
      <c r="Q45" s="236"/>
      <c r="R45" s="22"/>
      <c r="S45" s="237"/>
      <c r="T45" s="240"/>
    </row>
    <row r="46" spans="1:20" s="1" customFormat="1" ht="15" outlineLevel="1">
      <c r="A46" s="178">
        <v>46</v>
      </c>
      <c r="B46" s="178"/>
      <c r="C46" s="226"/>
      <c r="D46" s="26"/>
      <c r="E46" s="25"/>
      <c r="F46" s="25"/>
      <c r="G46" s="25"/>
      <c r="H46" s="25"/>
      <c r="I46" s="25"/>
      <c r="J46" s="234"/>
      <c r="K46" s="13"/>
      <c r="L46" s="13"/>
      <c r="M46" s="13"/>
      <c r="N46" s="13"/>
      <c r="O46" s="234"/>
      <c r="P46" s="13"/>
      <c r="Q46" s="236"/>
      <c r="R46" s="22"/>
      <c r="S46" s="237"/>
      <c r="T46" s="240"/>
    </row>
    <row r="47" spans="1:20" s="1" customFormat="1" ht="15" outlineLevel="1">
      <c r="A47" s="178">
        <v>47</v>
      </c>
      <c r="B47" s="178"/>
      <c r="C47" s="226"/>
      <c r="D47" s="26"/>
      <c r="E47" s="25"/>
      <c r="F47" s="25"/>
      <c r="G47" s="25"/>
      <c r="H47" s="25"/>
      <c r="I47" s="25"/>
      <c r="J47" s="234"/>
      <c r="K47" s="13"/>
      <c r="L47" s="13"/>
      <c r="M47" s="13"/>
      <c r="N47" s="13"/>
      <c r="O47" s="234"/>
      <c r="P47" s="13"/>
      <c r="Q47" s="236"/>
      <c r="R47" s="22"/>
      <c r="S47" s="237"/>
      <c r="T47" s="240"/>
    </row>
    <row r="48" spans="1:20" s="1" customFormat="1" ht="15" outlineLevel="1">
      <c r="A48" s="178">
        <v>48</v>
      </c>
      <c r="B48" s="178"/>
      <c r="C48" s="226"/>
      <c r="D48" s="26"/>
      <c r="E48" s="25"/>
      <c r="F48" s="25"/>
      <c r="G48" s="25"/>
      <c r="H48" s="25"/>
      <c r="I48" s="25"/>
      <c r="J48" s="234"/>
      <c r="K48" s="13"/>
      <c r="L48" s="13"/>
      <c r="M48" s="13"/>
      <c r="N48" s="13"/>
      <c r="O48" s="234"/>
      <c r="P48" s="13"/>
      <c r="Q48" s="236"/>
      <c r="R48" s="22"/>
      <c r="S48" s="237"/>
      <c r="T48" s="240"/>
    </row>
    <row r="49" spans="1:23" s="1" customFormat="1" ht="15" outlineLevel="1">
      <c r="A49" s="178">
        <v>49</v>
      </c>
      <c r="B49" s="178"/>
      <c r="C49" s="226"/>
      <c r="D49" s="26"/>
      <c r="E49" s="25"/>
      <c r="F49" s="25"/>
      <c r="G49" s="25"/>
      <c r="H49" s="25"/>
      <c r="I49" s="25"/>
      <c r="J49" s="234"/>
      <c r="K49" s="13"/>
      <c r="L49" s="13"/>
      <c r="M49" s="13"/>
      <c r="N49" s="13"/>
      <c r="O49" s="234"/>
      <c r="P49" s="13"/>
      <c r="Q49" s="236"/>
      <c r="R49" s="22"/>
      <c r="S49" s="237"/>
      <c r="T49" s="240"/>
    </row>
    <row r="50" spans="1:23" outlineLevel="1">
      <c r="A50" s="178">
        <v>50</v>
      </c>
      <c r="B50" s="178"/>
      <c r="C50" s="223"/>
      <c r="D50" s="231"/>
      <c r="E50" s="1"/>
      <c r="F50" s="1"/>
      <c r="G50" s="14"/>
      <c r="H50" s="14"/>
      <c r="I50" s="14"/>
      <c r="J50" s="223"/>
      <c r="K50" s="14"/>
      <c r="L50" s="14"/>
      <c r="M50" s="14"/>
      <c r="N50" s="14"/>
      <c r="O50" s="223"/>
      <c r="P50" s="14"/>
      <c r="Q50" s="223"/>
      <c r="R50" s="14"/>
      <c r="S50" s="223"/>
      <c r="T50" s="223"/>
      <c r="U50" s="1"/>
    </row>
    <row r="51" spans="1:23" outlineLevel="1">
      <c r="A51" s="178">
        <v>51</v>
      </c>
      <c r="B51" s="178"/>
      <c r="C51" s="223"/>
      <c r="D51" s="231"/>
      <c r="E51" s="1"/>
      <c r="F51" s="1"/>
      <c r="G51" s="14"/>
      <c r="H51" s="14"/>
      <c r="I51" s="14"/>
      <c r="J51" s="223"/>
      <c r="K51" s="14"/>
      <c r="L51" s="14"/>
      <c r="M51" s="14"/>
      <c r="N51" s="14"/>
      <c r="O51" s="223"/>
      <c r="P51" s="14"/>
      <c r="Q51" s="223"/>
      <c r="R51" s="14"/>
      <c r="S51" s="223"/>
      <c r="T51" s="223"/>
      <c r="U51" s="1"/>
    </row>
    <row r="52" spans="1:23" outlineLevel="1">
      <c r="A52" s="178">
        <v>52</v>
      </c>
      <c r="B52" s="178"/>
      <c r="C52" s="223"/>
      <c r="D52" s="231"/>
      <c r="E52" s="1"/>
      <c r="F52" s="1"/>
      <c r="G52" s="14"/>
      <c r="H52" s="14"/>
      <c r="I52" s="14"/>
      <c r="J52" s="223"/>
      <c r="K52" s="14"/>
      <c r="L52" s="14"/>
      <c r="M52" s="14"/>
      <c r="N52" s="14"/>
      <c r="O52" s="223"/>
      <c r="P52" s="14"/>
      <c r="Q52" s="223"/>
      <c r="R52" s="14"/>
      <c r="S52" s="223"/>
      <c r="T52" s="223"/>
      <c r="U52" s="1"/>
    </row>
    <row r="53" spans="1:23" ht="15.75" outlineLevel="1">
      <c r="A53" s="178">
        <v>53</v>
      </c>
      <c r="B53" s="178"/>
      <c r="C53" s="227"/>
      <c r="D53" s="26"/>
      <c r="E53" s="25"/>
      <c r="F53" s="25"/>
      <c r="G53" s="25"/>
      <c r="H53" s="25"/>
      <c r="I53" s="25"/>
      <c r="J53" s="234"/>
      <c r="K53" s="13"/>
      <c r="L53" s="13"/>
      <c r="M53" s="13"/>
      <c r="N53" s="13"/>
      <c r="O53" s="234"/>
      <c r="P53" s="13"/>
      <c r="Q53" s="236"/>
      <c r="R53" s="22"/>
      <c r="S53" s="223"/>
      <c r="T53" s="240"/>
      <c r="U53" s="1"/>
      <c r="W53" s="1"/>
    </row>
    <row r="54" spans="1:23" ht="15" customHeight="1" outlineLevel="1">
      <c r="A54" s="178">
        <v>54</v>
      </c>
      <c r="B54" s="178"/>
      <c r="C54" s="226"/>
      <c r="D54" s="232"/>
      <c r="E54" s="12"/>
      <c r="F54" s="12"/>
      <c r="G54" s="13"/>
      <c r="H54" s="13"/>
      <c r="I54" s="13"/>
      <c r="J54" s="234"/>
      <c r="K54" s="13"/>
      <c r="L54" s="13"/>
      <c r="M54" s="13"/>
      <c r="N54" s="13"/>
      <c r="O54" s="232"/>
      <c r="P54" s="12"/>
      <c r="Q54" s="236"/>
      <c r="R54" s="22"/>
      <c r="S54" s="223"/>
      <c r="T54" s="240"/>
      <c r="U54" s="1"/>
      <c r="W54" s="1"/>
    </row>
    <row r="55" spans="1:23" ht="15" customHeight="1" outlineLevel="1">
      <c r="A55" s="178">
        <v>55</v>
      </c>
      <c r="B55" s="178"/>
      <c r="C55" s="226"/>
      <c r="D55" s="232"/>
      <c r="E55" s="12"/>
      <c r="F55" s="12"/>
      <c r="G55" s="13"/>
      <c r="H55" s="13"/>
      <c r="I55" s="13"/>
      <c r="J55" s="234"/>
      <c r="K55" s="13"/>
      <c r="L55" s="13"/>
      <c r="M55" s="13"/>
      <c r="N55" s="13"/>
      <c r="O55" s="232"/>
      <c r="P55" s="12"/>
      <c r="Q55" s="236"/>
      <c r="R55" s="22"/>
      <c r="S55" s="223"/>
      <c r="T55" s="240"/>
      <c r="U55" s="1"/>
      <c r="W55" s="1"/>
    </row>
    <row r="56" spans="1:23" ht="15" customHeight="1" outlineLevel="1">
      <c r="A56" s="178">
        <v>56</v>
      </c>
      <c r="B56" s="178"/>
      <c r="C56" s="226"/>
      <c r="D56" s="232"/>
      <c r="E56" s="12"/>
      <c r="F56" s="12"/>
      <c r="G56" s="13"/>
      <c r="H56" s="13"/>
      <c r="I56" s="13"/>
      <c r="J56" s="234"/>
      <c r="K56" s="13"/>
      <c r="L56" s="13"/>
      <c r="M56" s="13"/>
      <c r="N56" s="13"/>
      <c r="O56" s="232"/>
      <c r="P56" s="12"/>
      <c r="Q56" s="236"/>
      <c r="R56" s="22"/>
      <c r="S56" s="223"/>
      <c r="T56" s="240"/>
      <c r="U56" s="1"/>
      <c r="W56" s="1"/>
    </row>
    <row r="57" spans="1:23" ht="15" customHeight="1" outlineLevel="1">
      <c r="A57" s="178">
        <v>57</v>
      </c>
      <c r="B57" s="178"/>
      <c r="C57" s="226"/>
      <c r="D57" s="232"/>
      <c r="E57" s="12"/>
      <c r="F57" s="12"/>
      <c r="G57" s="13"/>
      <c r="H57" s="13"/>
      <c r="I57" s="13"/>
      <c r="J57" s="234"/>
      <c r="K57" s="13"/>
      <c r="L57" s="13"/>
      <c r="M57" s="13"/>
      <c r="N57" s="13"/>
      <c r="O57" s="232"/>
      <c r="P57" s="12"/>
      <c r="Q57" s="236"/>
      <c r="R57" s="22"/>
      <c r="S57" s="223"/>
      <c r="T57" s="240"/>
      <c r="U57" s="1"/>
      <c r="W57" s="1"/>
    </row>
    <row r="58" spans="1:23" ht="15" customHeight="1" outlineLevel="1">
      <c r="A58" s="178">
        <v>58</v>
      </c>
      <c r="B58" s="178"/>
      <c r="C58" s="226"/>
      <c r="D58" s="232"/>
      <c r="E58" s="12"/>
      <c r="F58" s="12"/>
      <c r="G58" s="13"/>
      <c r="H58" s="13"/>
      <c r="I58" s="13"/>
      <c r="J58" s="234"/>
      <c r="K58" s="13"/>
      <c r="L58" s="13"/>
      <c r="M58" s="13"/>
      <c r="N58" s="13"/>
      <c r="O58" s="232"/>
      <c r="P58" s="12"/>
      <c r="Q58" s="236"/>
      <c r="R58" s="22"/>
      <c r="S58" s="223"/>
      <c r="T58" s="240"/>
      <c r="U58" s="1"/>
      <c r="W58" s="1"/>
    </row>
    <row r="59" spans="1:23" ht="15" customHeight="1" outlineLevel="1">
      <c r="A59" s="178">
        <v>59</v>
      </c>
      <c r="B59" s="178"/>
      <c r="C59" s="226"/>
      <c r="D59" s="232"/>
      <c r="E59" s="12"/>
      <c r="F59" s="12"/>
      <c r="G59" s="13"/>
      <c r="H59" s="13"/>
      <c r="I59" s="13"/>
      <c r="J59" s="234"/>
      <c r="K59" s="13"/>
      <c r="L59" s="13"/>
      <c r="M59" s="13"/>
      <c r="N59" s="13"/>
      <c r="O59" s="232"/>
      <c r="P59" s="12"/>
      <c r="Q59" s="236"/>
      <c r="R59" s="22"/>
      <c r="S59" s="223"/>
      <c r="T59" s="240"/>
      <c r="U59" s="1"/>
      <c r="W59" s="1"/>
    </row>
    <row r="60" spans="1:23" s="298" customFormat="1" ht="18">
      <c r="A60" s="585" t="s">
        <v>223</v>
      </c>
      <c r="B60" s="585"/>
      <c r="C60" s="585"/>
      <c r="D60" s="585"/>
      <c r="E60" s="585"/>
      <c r="F60" s="585"/>
      <c r="G60" s="585"/>
      <c r="H60" s="585"/>
      <c r="I60" s="585"/>
      <c r="J60" s="296"/>
      <c r="K60" s="296"/>
      <c r="L60" s="296"/>
      <c r="M60" s="296"/>
      <c r="N60" s="296"/>
      <c r="O60" s="296"/>
      <c r="P60" s="296"/>
      <c r="Q60" s="296"/>
      <c r="R60" s="296"/>
      <c r="S60" s="297"/>
      <c r="T60" s="297"/>
    </row>
    <row r="61" spans="1:23" s="204" customFormat="1" ht="15" customHeight="1" outlineLevel="1">
      <c r="A61" s="200" t="s">
        <v>224</v>
      </c>
      <c r="B61" s="200"/>
      <c r="C61" s="202"/>
      <c r="D61" s="206" t="s">
        <v>237</v>
      </c>
      <c r="E61" s="207" t="s">
        <v>241</v>
      </c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</row>
    <row r="62" spans="1:23" s="1" customFormat="1" ht="15" outlineLevel="1">
      <c r="A62" s="195" t="s">
        <v>279</v>
      </c>
      <c r="B62" s="195"/>
      <c r="C62" s="4" t="s">
        <v>9</v>
      </c>
      <c r="D62" s="196">
        <v>14</v>
      </c>
      <c r="E62" s="190"/>
      <c r="F62" s="14"/>
      <c r="G62" s="14"/>
      <c r="H62" s="14"/>
      <c r="I62" s="14"/>
      <c r="J62" s="181"/>
      <c r="K62" s="181"/>
      <c r="L62" s="181"/>
      <c r="M62" s="181"/>
      <c r="N62" s="181"/>
      <c r="O62" s="14"/>
      <c r="P62" s="14"/>
      <c r="Q62" s="14"/>
    </row>
    <row r="63" spans="1:23" s="1" customFormat="1" ht="15" outlineLevel="1">
      <c r="A63" s="195" t="s">
        <v>280</v>
      </c>
      <c r="B63" s="195"/>
      <c r="C63" s="4" t="s">
        <v>76</v>
      </c>
      <c r="D63" s="208">
        <v>320</v>
      </c>
      <c r="E63" s="190"/>
      <c r="F63" s="14"/>
      <c r="G63" s="14"/>
      <c r="H63" s="14"/>
      <c r="I63" s="14"/>
      <c r="J63" s="181"/>
      <c r="K63" s="181"/>
      <c r="L63" s="181"/>
      <c r="M63" s="181"/>
      <c r="N63" s="181"/>
      <c r="O63" s="14"/>
      <c r="P63" s="14"/>
      <c r="Q63" s="14"/>
    </row>
    <row r="64" spans="1:23" s="1" customFormat="1" ht="15" outlineLevel="1">
      <c r="A64" s="195" t="s">
        <v>281</v>
      </c>
      <c r="B64" s="195"/>
      <c r="C64" s="4"/>
      <c r="D64" s="208"/>
      <c r="E64" s="190"/>
      <c r="F64" s="14"/>
      <c r="G64" s="14"/>
      <c r="H64" s="14"/>
      <c r="I64" s="14"/>
      <c r="J64" s="181"/>
      <c r="K64" s="181"/>
      <c r="L64" s="181"/>
      <c r="M64" s="181"/>
      <c r="N64" s="181"/>
      <c r="O64" s="14"/>
      <c r="P64" s="14"/>
      <c r="Q64" s="14"/>
    </row>
    <row r="65" spans="1:17" s="1" customFormat="1" ht="15" outlineLevel="1">
      <c r="A65" s="195" t="s">
        <v>282</v>
      </c>
      <c r="B65" s="195"/>
      <c r="C65" s="4"/>
      <c r="D65" s="208"/>
      <c r="E65" s="190"/>
      <c r="F65" s="14"/>
      <c r="G65" s="14"/>
      <c r="H65" s="14"/>
      <c r="I65" s="14"/>
      <c r="J65" s="181"/>
      <c r="K65" s="181"/>
      <c r="L65" s="181"/>
      <c r="M65" s="181"/>
      <c r="N65" s="181"/>
      <c r="O65" s="14"/>
      <c r="P65" s="14"/>
      <c r="Q65" s="14"/>
    </row>
    <row r="66" spans="1:17" s="1" customFormat="1" ht="15" outlineLevel="1">
      <c r="A66" s="195" t="s">
        <v>283</v>
      </c>
      <c r="B66" s="195"/>
      <c r="C66" s="4"/>
      <c r="D66" s="208"/>
      <c r="E66" s="190"/>
      <c r="F66" s="14"/>
      <c r="G66" s="14"/>
      <c r="H66" s="14"/>
      <c r="I66" s="14"/>
      <c r="J66" s="181"/>
      <c r="K66" s="181"/>
      <c r="L66" s="181"/>
      <c r="M66" s="181"/>
      <c r="N66" s="181"/>
      <c r="O66" s="14"/>
      <c r="P66" s="14"/>
      <c r="Q66" s="14"/>
    </row>
    <row r="67" spans="1:17" s="1" customFormat="1" ht="15" outlineLevel="1">
      <c r="A67" s="195" t="s">
        <v>284</v>
      </c>
      <c r="B67" s="195"/>
      <c r="C67" s="37"/>
      <c r="D67" s="208"/>
      <c r="E67" s="190"/>
      <c r="F67" s="14"/>
      <c r="G67" s="14"/>
      <c r="H67" s="14"/>
      <c r="I67" s="14"/>
      <c r="J67" s="181"/>
      <c r="K67" s="181"/>
      <c r="L67" s="181"/>
      <c r="M67" s="181"/>
      <c r="N67" s="181"/>
      <c r="O67" s="14"/>
      <c r="P67" s="14"/>
      <c r="Q67" s="14"/>
    </row>
    <row r="68" spans="1:17" s="204" customFormat="1" ht="15" outlineLevel="1">
      <c r="A68" s="200" t="s">
        <v>125</v>
      </c>
      <c r="B68" s="200"/>
      <c r="C68" s="201"/>
      <c r="D68" s="209"/>
      <c r="E68" s="210"/>
      <c r="F68" s="202"/>
      <c r="G68" s="202"/>
      <c r="H68" s="202"/>
      <c r="I68" s="202"/>
      <c r="J68" s="205"/>
      <c r="K68" s="205"/>
      <c r="L68" s="205"/>
      <c r="M68" s="205"/>
      <c r="N68" s="205"/>
      <c r="O68" s="202"/>
      <c r="P68" s="202"/>
      <c r="Q68" s="202"/>
    </row>
    <row r="69" spans="1:17" s="1" customFormat="1" ht="15" outlineLevel="1">
      <c r="A69" s="195" t="s">
        <v>268</v>
      </c>
      <c r="B69" s="195"/>
      <c r="C69" s="4" t="s">
        <v>54</v>
      </c>
      <c r="D69" s="196">
        <v>5.0999999999999996</v>
      </c>
      <c r="E69" s="190"/>
      <c r="F69" s="14"/>
      <c r="G69" s="14"/>
      <c r="H69" s="14"/>
      <c r="I69" s="14"/>
      <c r="J69" s="181"/>
      <c r="K69" s="181"/>
      <c r="L69" s="181"/>
      <c r="M69" s="181"/>
      <c r="N69" s="181"/>
      <c r="O69" s="14"/>
      <c r="P69" s="14"/>
      <c r="Q69" s="14"/>
    </row>
    <row r="70" spans="1:17" s="1" customFormat="1" ht="15" outlineLevel="1">
      <c r="A70" s="195" t="s">
        <v>269</v>
      </c>
      <c r="B70" s="195"/>
      <c r="C70" s="4" t="s">
        <v>55</v>
      </c>
      <c r="D70" s="196">
        <v>5.0999999999999996</v>
      </c>
      <c r="E70" s="190"/>
      <c r="F70" s="14"/>
      <c r="G70" s="14"/>
      <c r="H70" s="14"/>
      <c r="I70" s="14"/>
      <c r="J70" s="181"/>
      <c r="K70" s="181"/>
      <c r="L70" s="181"/>
      <c r="M70" s="181"/>
      <c r="N70" s="181"/>
      <c r="O70" s="14"/>
      <c r="P70" s="14"/>
      <c r="Q70" s="14"/>
    </row>
    <row r="71" spans="1:17" s="1" customFormat="1" ht="15" outlineLevel="1">
      <c r="A71" s="195" t="s">
        <v>270</v>
      </c>
      <c r="B71" s="195"/>
      <c r="C71" s="4" t="s">
        <v>56</v>
      </c>
      <c r="D71" s="196">
        <v>6.57</v>
      </c>
      <c r="E71" s="190"/>
      <c r="F71" s="14"/>
      <c r="G71" s="181"/>
      <c r="H71" s="181"/>
      <c r="I71" s="14"/>
      <c r="J71" s="14"/>
      <c r="K71" s="14"/>
      <c r="L71" s="14"/>
      <c r="M71" s="14"/>
      <c r="N71" s="14"/>
      <c r="O71" s="14"/>
      <c r="P71" s="14"/>
    </row>
    <row r="72" spans="1:17" s="1" customFormat="1" ht="15" outlineLevel="1">
      <c r="A72" s="195" t="s">
        <v>271</v>
      </c>
      <c r="B72" s="195"/>
      <c r="C72" s="4"/>
      <c r="D72" s="196"/>
      <c r="E72" s="190"/>
      <c r="F72" s="14"/>
      <c r="G72" s="181"/>
      <c r="H72" s="181"/>
      <c r="I72" s="14"/>
      <c r="J72" s="14"/>
      <c r="K72" s="14"/>
      <c r="L72" s="14"/>
      <c r="M72" s="14"/>
      <c r="N72" s="14"/>
      <c r="O72" s="14"/>
      <c r="P72" s="14"/>
    </row>
    <row r="73" spans="1:17" s="1" customFormat="1" ht="15" outlineLevel="1">
      <c r="A73" s="195" t="s">
        <v>272</v>
      </c>
      <c r="B73" s="195"/>
      <c r="C73" s="4"/>
      <c r="D73" s="196"/>
      <c r="E73" s="190"/>
      <c r="F73" s="14"/>
      <c r="G73" s="181"/>
      <c r="H73" s="181"/>
      <c r="I73" s="14"/>
      <c r="J73" s="14"/>
      <c r="K73" s="14"/>
      <c r="L73" s="14"/>
      <c r="M73" s="14"/>
      <c r="N73" s="14"/>
      <c r="O73" s="14"/>
      <c r="P73" s="14"/>
    </row>
    <row r="74" spans="1:17" s="1" customFormat="1" ht="15" outlineLevel="1">
      <c r="A74" s="195" t="s">
        <v>273</v>
      </c>
      <c r="B74" s="195"/>
      <c r="C74" s="4"/>
      <c r="D74" s="196"/>
      <c r="E74" s="190"/>
      <c r="F74" s="14"/>
      <c r="G74" s="181"/>
      <c r="H74" s="181"/>
      <c r="I74" s="14"/>
      <c r="J74" s="14"/>
      <c r="K74" s="14"/>
      <c r="L74" s="14"/>
      <c r="M74" s="14"/>
      <c r="N74" s="14"/>
      <c r="O74" s="14"/>
      <c r="P74" s="14"/>
    </row>
    <row r="75" spans="1:17" s="1" customFormat="1" ht="15" outlineLevel="1">
      <c r="A75" s="195" t="s">
        <v>274</v>
      </c>
      <c r="B75" s="195"/>
      <c r="C75" s="14"/>
      <c r="D75" s="211"/>
      <c r="E75" s="190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</row>
    <row r="76" spans="1:17" s="1" customFormat="1" ht="15" outlineLevel="1">
      <c r="A76" s="195" t="s">
        <v>275</v>
      </c>
      <c r="B76" s="195"/>
      <c r="C76" s="37"/>
      <c r="D76" s="208"/>
      <c r="E76" s="190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</row>
    <row r="77" spans="1:17" s="1" customFormat="1" ht="15" outlineLevel="1">
      <c r="A77" s="195" t="s">
        <v>276</v>
      </c>
      <c r="B77" s="195"/>
      <c r="C77" s="37"/>
      <c r="D77" s="208"/>
      <c r="E77" s="190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</row>
    <row r="78" spans="1:17" s="1" customFormat="1" ht="15" outlineLevel="1">
      <c r="A78" s="195" t="s">
        <v>277</v>
      </c>
      <c r="B78" s="195"/>
      <c r="C78" s="37"/>
      <c r="D78" s="208"/>
      <c r="E78" s="190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</row>
    <row r="79" spans="1:17" s="1" customFormat="1" ht="15" outlineLevel="1">
      <c r="A79" s="195" t="s">
        <v>278</v>
      </c>
      <c r="B79" s="195"/>
      <c r="C79" s="37"/>
      <c r="D79" s="208"/>
      <c r="E79" s="190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</row>
    <row r="80" spans="1:17" s="204" customFormat="1" ht="15" outlineLevel="1">
      <c r="A80" s="200" t="s">
        <v>238</v>
      </c>
      <c r="B80" s="200"/>
      <c r="C80" s="201"/>
      <c r="D80" s="209"/>
      <c r="E80" s="210"/>
      <c r="F80" s="203"/>
      <c r="G80" s="203"/>
      <c r="H80" s="203"/>
      <c r="I80" s="203"/>
      <c r="J80" s="203"/>
      <c r="K80" s="203"/>
      <c r="L80" s="203"/>
      <c r="M80" s="203"/>
      <c r="N80" s="203"/>
      <c r="O80" s="203"/>
      <c r="P80" s="203"/>
      <c r="Q80" s="203"/>
    </row>
    <row r="81" spans="1:20" s="1" customFormat="1" ht="15" outlineLevel="1">
      <c r="A81" s="195" t="s">
        <v>242</v>
      </c>
      <c r="B81" s="195"/>
      <c r="C81" s="4" t="s">
        <v>18</v>
      </c>
      <c r="D81" s="213">
        <v>2.1626499999999997</v>
      </c>
      <c r="E81" s="214">
        <v>1.25</v>
      </c>
      <c r="F81" s="214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</row>
    <row r="82" spans="1:20" s="1" customFormat="1" ht="15" outlineLevel="1">
      <c r="A82" s="195" t="s">
        <v>243</v>
      </c>
      <c r="B82" s="195"/>
      <c r="C82" s="4" t="s">
        <v>59</v>
      </c>
      <c r="D82" s="213">
        <v>5.9647500000000004</v>
      </c>
      <c r="E82" s="214">
        <v>1.6</v>
      </c>
      <c r="F82" s="214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</row>
    <row r="83" spans="1:20" s="1" customFormat="1" ht="15" outlineLevel="1">
      <c r="A83" s="195" t="s">
        <v>244</v>
      </c>
      <c r="B83" s="195"/>
      <c r="C83" s="4" t="s">
        <v>63</v>
      </c>
      <c r="D83" s="213">
        <v>6.2</v>
      </c>
      <c r="E83" s="214">
        <v>1.35</v>
      </c>
      <c r="F83" s="214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</row>
    <row r="84" spans="1:20" s="1" customFormat="1" ht="15" outlineLevel="1">
      <c r="A84" s="195" t="s">
        <v>245</v>
      </c>
      <c r="B84" s="195"/>
      <c r="C84" s="4" t="s">
        <v>62</v>
      </c>
      <c r="D84" s="213">
        <v>7.4588499999999991</v>
      </c>
      <c r="E84" s="214">
        <v>1.4</v>
      </c>
      <c r="F84" s="214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</row>
    <row r="85" spans="1:20" s="1" customFormat="1" ht="15" outlineLevel="1">
      <c r="A85" s="195" t="s">
        <v>246</v>
      </c>
      <c r="B85" s="195"/>
      <c r="C85" s="4" t="s">
        <v>61</v>
      </c>
      <c r="D85" s="213">
        <v>8.5</v>
      </c>
      <c r="E85" s="184">
        <v>1.4</v>
      </c>
      <c r="F85" s="215"/>
      <c r="G85" s="14"/>
      <c r="H85" s="14"/>
      <c r="I85" s="14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</row>
    <row r="86" spans="1:20" s="1" customFormat="1" ht="15" outlineLevel="1">
      <c r="A86" s="195" t="s">
        <v>247</v>
      </c>
      <c r="B86" s="195"/>
      <c r="C86" s="4" t="s">
        <v>17</v>
      </c>
      <c r="D86" s="213">
        <v>8.59</v>
      </c>
      <c r="E86" s="184">
        <v>1.5</v>
      </c>
      <c r="F86" s="215"/>
      <c r="G86" s="14"/>
      <c r="H86" s="14"/>
      <c r="I86" s="14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</row>
    <row r="87" spans="1:20" s="1" customFormat="1" ht="15" outlineLevel="1">
      <c r="A87" s="195" t="s">
        <v>248</v>
      </c>
      <c r="B87" s="195"/>
      <c r="C87" s="19" t="s">
        <v>58</v>
      </c>
      <c r="D87" s="213">
        <v>5.9647500000000004</v>
      </c>
      <c r="E87" s="184">
        <v>1.7</v>
      </c>
      <c r="F87" s="215"/>
      <c r="G87" s="14"/>
      <c r="H87" s="14"/>
      <c r="I87" s="14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</row>
    <row r="88" spans="1:20" s="1" customFormat="1" ht="15" outlineLevel="1">
      <c r="A88" s="195" t="s">
        <v>249</v>
      </c>
      <c r="B88" s="195"/>
      <c r="C88" s="14"/>
      <c r="D88" s="216"/>
      <c r="E88" s="215"/>
      <c r="F88" s="215"/>
      <c r="G88" s="14"/>
      <c r="H88" s="14"/>
      <c r="I88" s="14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</row>
    <row r="89" spans="1:20" s="1" customFormat="1" ht="15" outlineLevel="1">
      <c r="A89" s="195" t="s">
        <v>250</v>
      </c>
      <c r="B89" s="195"/>
      <c r="C89" s="14"/>
      <c r="D89" s="216"/>
      <c r="E89" s="215"/>
      <c r="F89" s="215"/>
      <c r="G89" s="14"/>
      <c r="H89" s="14"/>
      <c r="I89" s="14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</row>
    <row r="90" spans="1:20" s="1" customFormat="1" ht="15" outlineLevel="1">
      <c r="A90" s="195" t="s">
        <v>251</v>
      </c>
      <c r="B90" s="195"/>
      <c r="C90" s="14"/>
      <c r="D90" s="216"/>
      <c r="E90" s="215"/>
      <c r="F90" s="215"/>
      <c r="G90" s="14"/>
      <c r="H90" s="14"/>
      <c r="I90" s="14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</row>
    <row r="91" spans="1:20" s="1" customFormat="1" ht="15" outlineLevel="1">
      <c r="A91" s="195" t="s">
        <v>252</v>
      </c>
      <c r="B91" s="195"/>
      <c r="C91" s="14"/>
      <c r="D91" s="216"/>
      <c r="E91" s="215"/>
      <c r="F91" s="215"/>
      <c r="G91" s="14"/>
      <c r="H91" s="14"/>
      <c r="I91" s="14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</row>
    <row r="92" spans="1:20" s="1" customFormat="1" ht="15" outlineLevel="1">
      <c r="A92" s="195" t="s">
        <v>253</v>
      </c>
      <c r="B92" s="195"/>
      <c r="C92" s="14"/>
      <c r="D92" s="216"/>
      <c r="E92" s="215"/>
      <c r="F92" s="215"/>
      <c r="G92" s="14"/>
      <c r="H92" s="14"/>
      <c r="I92" s="14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</row>
    <row r="93" spans="1:20" s="1" customFormat="1" ht="15" outlineLevel="1">
      <c r="A93" s="195" t="s">
        <v>254</v>
      </c>
      <c r="B93" s="195"/>
      <c r="C93" s="14"/>
      <c r="D93" s="216"/>
      <c r="E93" s="215"/>
      <c r="F93" s="215"/>
      <c r="G93" s="14"/>
      <c r="H93" s="14"/>
      <c r="I93" s="14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</row>
    <row r="94" spans="1:20" ht="15" outlineLevel="1">
      <c r="A94" s="195" t="s">
        <v>255</v>
      </c>
      <c r="B94" s="195"/>
      <c r="D94" s="216"/>
      <c r="E94" s="217"/>
      <c r="F94" s="217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spans="1:20" ht="15" outlineLevel="1">
      <c r="A95" s="195" t="s">
        <v>256</v>
      </c>
      <c r="B95" s="195"/>
      <c r="D95" s="19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</row>
    <row r="96" spans="1:20" ht="15" outlineLevel="1">
      <c r="A96" s="195" t="s">
        <v>257</v>
      </c>
      <c r="B96" s="195"/>
      <c r="D96" s="19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</row>
    <row r="97" spans="1:20" ht="15" outlineLevel="1">
      <c r="A97" s="195" t="s">
        <v>258</v>
      </c>
      <c r="B97" s="195"/>
      <c r="D97" s="19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</row>
    <row r="98" spans="1:20" ht="15" outlineLevel="1">
      <c r="A98" s="195" t="s">
        <v>259</v>
      </c>
      <c r="B98" s="195"/>
      <c r="D98" s="19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</row>
    <row r="99" spans="1:20" ht="15" outlineLevel="1">
      <c r="A99" s="195" t="s">
        <v>260</v>
      </c>
      <c r="B99" s="195"/>
      <c r="D99" s="198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</row>
    <row r="100" spans="1:20" ht="15" outlineLevel="1">
      <c r="A100" s="195" t="s">
        <v>261</v>
      </c>
      <c r="B100" s="195"/>
      <c r="D100" s="198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</row>
    <row r="101" spans="1:20" ht="15" outlineLevel="1">
      <c r="A101" s="195" t="s">
        <v>262</v>
      </c>
      <c r="B101" s="195"/>
      <c r="D101" s="19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</row>
    <row r="102" spans="1:20" ht="15" outlineLevel="1">
      <c r="A102" s="195" t="s">
        <v>263</v>
      </c>
      <c r="B102" s="195"/>
      <c r="D102" s="198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</row>
    <row r="103" spans="1:20" ht="15" outlineLevel="1">
      <c r="A103" s="195" t="s">
        <v>264</v>
      </c>
      <c r="B103" s="195"/>
      <c r="D103" s="198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</row>
    <row r="104" spans="1:20" s="1" customFormat="1" ht="15" outlineLevel="1">
      <c r="A104" s="195" t="s">
        <v>265</v>
      </c>
      <c r="B104" s="195"/>
      <c r="C104" s="4"/>
      <c r="D104" s="197"/>
      <c r="E104" s="28"/>
      <c r="F104" s="21"/>
      <c r="G104" s="21"/>
      <c r="H104" s="21"/>
      <c r="I104" s="11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</row>
    <row r="105" spans="1:20" ht="15" outlineLevel="1">
      <c r="A105" s="195" t="s">
        <v>266</v>
      </c>
      <c r="B105" s="195"/>
      <c r="C105" s="36"/>
      <c r="D105" s="199"/>
      <c r="E105" s="38"/>
      <c r="F105" s="20"/>
      <c r="G105" s="20"/>
      <c r="H105" s="20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15" outlineLevel="1">
      <c r="A106" s="195" t="s">
        <v>267</v>
      </c>
      <c r="B106" s="195"/>
      <c r="D106" s="198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s="301" customFormat="1" ht="18.75" thickBot="1">
      <c r="A107" s="582" t="s">
        <v>224</v>
      </c>
      <c r="B107" s="582"/>
      <c r="C107" s="582"/>
      <c r="D107" s="582"/>
      <c r="E107" s="582"/>
      <c r="F107" s="582"/>
      <c r="G107" s="582"/>
      <c r="H107" s="582"/>
      <c r="I107" s="582"/>
      <c r="J107" s="299"/>
      <c r="K107" s="299"/>
      <c r="L107" s="299"/>
      <c r="M107" s="299"/>
      <c r="N107" s="299"/>
      <c r="O107" s="299"/>
      <c r="P107" s="299"/>
      <c r="Q107" s="299"/>
      <c r="R107" s="299"/>
      <c r="S107" s="300"/>
      <c r="T107" s="300"/>
    </row>
    <row r="108" spans="1:20" ht="30.75" outlineLevel="1" thickBot="1">
      <c r="C108" s="19"/>
      <c r="D108" s="27" t="s">
        <v>19</v>
      </c>
      <c r="E108" s="23"/>
      <c r="F108" s="20"/>
      <c r="G108" s="20"/>
      <c r="H108" s="20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15" outlineLevel="1">
      <c r="C109" s="24" t="s">
        <v>27</v>
      </c>
      <c r="D109" s="6">
        <v>0.2</v>
      </c>
      <c r="E109" s="23"/>
      <c r="F109" s="20"/>
      <c r="G109" s="20"/>
      <c r="H109" s="20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15" outlineLevel="1">
      <c r="C110" s="15" t="s">
        <v>28</v>
      </c>
      <c r="D110" s="3">
        <v>0.6</v>
      </c>
      <c r="E110" s="23"/>
      <c r="F110" s="20"/>
      <c r="G110" s="20"/>
      <c r="H110" s="20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15.75" outlineLevel="1" thickBot="1">
      <c r="C111" s="10" t="s">
        <v>29</v>
      </c>
      <c r="D111" s="17">
        <v>0.8</v>
      </c>
      <c r="E111" s="23"/>
      <c r="F111" s="20"/>
      <c r="G111" s="20"/>
      <c r="H111" s="20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15" outlineLevel="1">
      <c r="C112" s="39" t="s">
        <v>57</v>
      </c>
      <c r="D112" s="40">
        <v>2.25</v>
      </c>
      <c r="E112" s="23"/>
      <c r="F112" s="20"/>
      <c r="G112" s="20"/>
      <c r="H112" s="20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3:20" ht="15.75" outlineLevel="1" thickBot="1">
      <c r="C113" s="41" t="s">
        <v>60</v>
      </c>
      <c r="D113" s="29">
        <v>12</v>
      </c>
      <c r="E113" s="23"/>
      <c r="F113" s="20"/>
      <c r="G113" s="20"/>
      <c r="H113" s="20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3:20" outlineLevel="1"/>
    <row r="115" spans="3:20" ht="15.75" outlineLevel="1" thickBot="1">
      <c r="C115" s="19"/>
      <c r="D115" s="4"/>
      <c r="E115" s="23"/>
      <c r="F115" s="20"/>
      <c r="G115" s="20"/>
      <c r="H115" s="20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3:20" ht="15.75" outlineLevel="1" thickBot="1">
      <c r="D116" s="16" t="s">
        <v>14</v>
      </c>
      <c r="E116" s="16" t="s">
        <v>10</v>
      </c>
      <c r="G116"/>
      <c r="H116"/>
    </row>
    <row r="117" spans="3:20" ht="15.75" outlineLevel="1" thickBot="1">
      <c r="C117" s="7" t="s">
        <v>8</v>
      </c>
      <c r="D117" s="8">
        <v>1</v>
      </c>
      <c r="E117" s="18">
        <v>250</v>
      </c>
      <c r="G117"/>
      <c r="H117"/>
    </row>
    <row r="118" spans="3:20" ht="15" outlineLevel="1">
      <c r="E118" s="9"/>
      <c r="G118"/>
      <c r="H118"/>
    </row>
    <row r="119" spans="3:20" outlineLevel="1"/>
    <row r="120" spans="3:20" outlineLevel="1"/>
    <row r="121" spans="3:20" ht="15" outlineLevel="1">
      <c r="E121" s="2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/>
      <c r="S121"/>
      <c r="T121"/>
    </row>
    <row r="122" spans="3:20" outlineLevel="1"/>
    <row r="123" spans="3:20" outlineLevel="1"/>
    <row r="124" spans="3:20" outlineLevel="1"/>
    <row r="125" spans="3:20" outlineLevel="1"/>
    <row r="126" spans="3:20" outlineLevel="1"/>
    <row r="127" spans="3:20" outlineLevel="1"/>
    <row r="128" spans="3:20" outlineLevel="1"/>
    <row r="129" spans="1:20" outlineLevel="1"/>
    <row r="130" spans="1:20" outlineLevel="1"/>
    <row r="131" spans="1:20" outlineLevel="1"/>
    <row r="132" spans="1:20" outlineLevel="1"/>
    <row r="133" spans="1:20" outlineLevel="1"/>
    <row r="134" spans="1:20" outlineLevel="1"/>
    <row r="135" spans="1:20" outlineLevel="1"/>
    <row r="136" spans="1:20" outlineLevel="1"/>
    <row r="137" spans="1:20" outlineLevel="1"/>
    <row r="140" spans="1:20" s="301" customFormat="1" ht="16.5" customHeight="1">
      <c r="A140" s="582" t="s">
        <v>350</v>
      </c>
      <c r="B140" s="582"/>
      <c r="C140" s="582"/>
      <c r="D140" s="582"/>
      <c r="E140" s="582"/>
      <c r="F140" s="582"/>
      <c r="G140" s="582"/>
      <c r="H140" s="582"/>
      <c r="I140" s="582"/>
      <c r="J140" s="299"/>
      <c r="K140" s="299"/>
      <c r="L140" s="299"/>
      <c r="M140" s="299"/>
      <c r="N140" s="299"/>
      <c r="O140" s="299"/>
      <c r="P140" s="299"/>
      <c r="Q140" s="299"/>
      <c r="R140" s="299"/>
      <c r="S140" s="300"/>
      <c r="T140" s="300"/>
    </row>
    <row r="141" spans="1:20">
      <c r="A141" s="583" t="s">
        <v>352</v>
      </c>
      <c r="B141" s="583"/>
      <c r="C141" s="457" t="s">
        <v>351</v>
      </c>
    </row>
    <row r="142" spans="1:20">
      <c r="A142" s="458" t="s">
        <v>353</v>
      </c>
      <c r="B142" s="458"/>
      <c r="C142" s="457" t="s">
        <v>354</v>
      </c>
    </row>
  </sheetData>
  <mergeCells count="12">
    <mergeCell ref="O2:P3"/>
    <mergeCell ref="S2:S3"/>
    <mergeCell ref="Q2:R3"/>
    <mergeCell ref="J2:N3"/>
    <mergeCell ref="I2:I3"/>
    <mergeCell ref="A140:I140"/>
    <mergeCell ref="A141:B141"/>
    <mergeCell ref="A1:I1"/>
    <mergeCell ref="A60:I60"/>
    <mergeCell ref="A107:I107"/>
    <mergeCell ref="H2:H3"/>
    <mergeCell ref="D2:G3"/>
  </mergeCells>
  <phoneticPr fontId="0" type="noConversion"/>
  <pageMargins left="0.78740157499999996" right="0.78740157499999996" top="0.984251969" bottom="2.4700000000000002" header="0.4921259845" footer="0.492125984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Ablauf</vt:lpstr>
      <vt:lpstr>Kalkulationsblatt</vt:lpstr>
      <vt:lpstr>Risiko</vt:lpstr>
      <vt:lpstr>FA</vt:lpstr>
      <vt:lpstr>FP</vt:lpstr>
      <vt:lpstr>Stammdaten</vt:lpstr>
      <vt:lpstr>Auswahl</vt:lpstr>
      <vt:lpstr>Ablauf!Druckbereich</vt:lpstr>
      <vt:lpstr>FA!Druckbereich</vt:lpstr>
      <vt:lpstr>FP!Druckbereich</vt:lpstr>
      <vt:lpstr>Kalkulationsblatt!Druckbereich</vt:lpstr>
      <vt:lpstr>Risiko!Druckbereich</vt:lpstr>
      <vt:lpstr>FK</vt:lpstr>
      <vt:lpstr>Fläche</vt:lpstr>
      <vt:lpstr>Flaeche</vt:lpstr>
      <vt:lpstr>Harz</vt:lpstr>
      <vt:lpstr>Harztyp</vt:lpstr>
      <vt:lpstr>Komplexitaet</vt:lpstr>
      <vt:lpstr>LK</vt:lpstr>
      <vt:lpstr>Menge</vt:lpstr>
      <vt:lpstr>MK</vt:lpstr>
      <vt:lpstr>Umfang</vt:lpstr>
      <vt:lpstr>WK</vt:lpstr>
      <vt:lpstr>zaehler</vt:lpstr>
    </vt:vector>
  </TitlesOfParts>
  <Company>LSK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Zichner</dc:creator>
  <cp:lastModifiedBy>Marco.Zichner</cp:lastModifiedBy>
  <cp:lastPrinted>2014-01-09T09:47:30Z</cp:lastPrinted>
  <dcterms:created xsi:type="dcterms:W3CDTF">2010-10-11T08:58:26Z</dcterms:created>
  <dcterms:modified xsi:type="dcterms:W3CDTF">2014-01-09T10:38:37Z</dcterms:modified>
</cp:coreProperties>
</file>