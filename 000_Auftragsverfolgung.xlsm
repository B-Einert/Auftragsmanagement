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-15" yWindow="105" windowWidth="20475" windowHeight="7185"/>
  </bookViews>
  <sheets>
    <sheet name="Ablauf" sheetId="6" r:id="rId1"/>
    <sheet name="Kalkulationsblatt" sheetId="12" r:id="rId2"/>
    <sheet name="Risiko" sheetId="14" r:id="rId3"/>
    <sheet name="FA" sheetId="7" r:id="rId4"/>
    <sheet name="FP" sheetId="13" r:id="rId5"/>
    <sheet name="Stammdaten" sheetId="5" r:id="rId6"/>
    <sheet name="Verweis" sheetId="15" r:id="rId7"/>
    <sheet name="Historie" sheetId="16" r:id="rId8"/>
  </sheets>
  <functionGroups builtInGroupCount="17"/>
  <externalReferences>
    <externalReference r:id="rId9"/>
    <externalReference r:id="rId10"/>
  </externalReferences>
  <definedNames>
    <definedName name="Auswahl" localSheetId="4">FP!#REF!</definedName>
    <definedName name="Auswahl" localSheetId="1">Kalkulationsblatt!#REF!</definedName>
    <definedName name="Auswahl">Ablauf!$T$40</definedName>
    <definedName name="_xlnm.Print_Area" localSheetId="0">Ablauf!$A$1:$L$66</definedName>
    <definedName name="_xlnm.Print_Area" localSheetId="3">FA!$A$1:$E$134</definedName>
    <definedName name="_xlnm.Print_Area" localSheetId="4">FP!$A$1:$AG$64</definedName>
    <definedName name="_xlnm.Print_Area" localSheetId="1">Kalkulationsblatt!$A$1:$G$59</definedName>
    <definedName name="_xlnm.Print_Area" localSheetId="2">Risiko!$A$1:$F$40</definedName>
    <definedName name="Fasergewicht">Ablauf!#REF!</definedName>
    <definedName name="FK">Ablauf!$D$15</definedName>
    <definedName name="Fläche" localSheetId="4">FP!#REF!</definedName>
    <definedName name="Fläche" localSheetId="1">Kalkulationsblatt!#REF!</definedName>
    <definedName name="Fläche">Ablauf!$D$9</definedName>
    <definedName name="Flaeche">Ablauf!$D$9</definedName>
    <definedName name="Härter" localSheetId="4">[1]Stammdaten!#REF!</definedName>
    <definedName name="Härter" localSheetId="1">[1]Stammdaten!#REF!</definedName>
    <definedName name="Härter">Stammdaten!#REF!</definedName>
    <definedName name="Härtera" localSheetId="4">[1]Stammdaten!#REF!</definedName>
    <definedName name="Härtera" localSheetId="1">[1]Stammdaten!#REF!</definedName>
    <definedName name="Härtera">Stammdaten!#REF!</definedName>
    <definedName name="Härteranteil" localSheetId="4">[1]Stammdaten!#REF!</definedName>
    <definedName name="Härteranteil" localSheetId="1">[1]Stammdaten!#REF!</definedName>
    <definedName name="Härteranteil">Stammdaten!#REF!</definedName>
    <definedName name="Harz" localSheetId="4">FP!#REF!</definedName>
    <definedName name="Harz" localSheetId="1">Kalkulationsblatt!#REF!</definedName>
    <definedName name="Harz">Ablauf!$V$40</definedName>
    <definedName name="Harztyp">Ablauf!$D$3</definedName>
    <definedName name="Infiltrationsschlauch">'[2]Dropdown-Menü'!#REF!</definedName>
    <definedName name="Komplexitaet">Ablauf!$D$2</definedName>
    <definedName name="LK" localSheetId="4">[1]Stammdaten!$J$2</definedName>
    <definedName name="LK" localSheetId="1">[1]Stammdaten!$J$2</definedName>
    <definedName name="LK">Stammdaten!$C$3</definedName>
    <definedName name="Menge">Ablauf!$D$11</definedName>
    <definedName name="MK">Ablauf!$D$13</definedName>
    <definedName name="Teilprojekt">Ablauf!$G$7</definedName>
    <definedName name="Umfang">Ablauf!$D$10</definedName>
    <definedName name="WK">Ablauf!$D$14</definedName>
    <definedName name="zaehler">Ablauf!$G$7</definedName>
  </definedNames>
  <calcPr calcId="145621"/>
</workbook>
</file>

<file path=xl/calcChain.xml><?xml version="1.0" encoding="utf-8"?>
<calcChain xmlns="http://schemas.openxmlformats.org/spreadsheetml/2006/main">
  <c r="A45" i="13" l="1"/>
  <c r="B45" i="13"/>
  <c r="G45" i="13"/>
  <c r="L45" i="13"/>
  <c r="O45" i="13"/>
  <c r="A48" i="13"/>
  <c r="B48" i="13"/>
  <c r="G48" i="13"/>
  <c r="L48" i="13"/>
  <c r="O48" i="13"/>
  <c r="A51" i="13"/>
  <c r="B51" i="13"/>
  <c r="G51" i="13"/>
  <c r="L51" i="13"/>
  <c r="O51" i="13"/>
  <c r="A54" i="13"/>
  <c r="B54" i="13"/>
  <c r="G54" i="13"/>
  <c r="L54" i="13"/>
  <c r="O54" i="13"/>
  <c r="A57" i="13"/>
  <c r="B57" i="13"/>
  <c r="G57" i="13"/>
  <c r="L57" i="13"/>
  <c r="O57" i="13"/>
  <c r="A60" i="13"/>
  <c r="B60" i="13"/>
  <c r="G60" i="13"/>
  <c r="L60" i="13"/>
  <c r="O60" i="13"/>
  <c r="G42" i="13"/>
  <c r="O42" i="13"/>
  <c r="L42" i="13"/>
  <c r="B42" i="13"/>
  <c r="A42" i="13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E34" i="7"/>
  <c r="D34" i="7"/>
  <c r="C34" i="7"/>
  <c r="AH37" i="13"/>
  <c r="AH36" i="13"/>
  <c r="A35" i="7" l="1"/>
  <c r="A36" i="7"/>
  <c r="A37" i="7"/>
  <c r="A38" i="7"/>
  <c r="A39" i="7"/>
  <c r="A40" i="7"/>
  <c r="B34" i="7"/>
  <c r="A30" i="7"/>
  <c r="A19" i="7"/>
  <c r="A20" i="7"/>
  <c r="A21" i="7"/>
  <c r="A18" i="7"/>
  <c r="A34" i="7"/>
  <c r="H80" i="5" l="1"/>
  <c r="L51" i="5" l="1"/>
  <c r="L50" i="5"/>
  <c r="L45" i="5"/>
  <c r="L44" i="5"/>
  <c r="L43" i="5"/>
  <c r="L42" i="5"/>
  <c r="L41" i="5"/>
  <c r="N41" i="5" s="1"/>
  <c r="L40" i="5"/>
  <c r="N40" i="5" s="1"/>
  <c r="H52" i="5"/>
  <c r="H46" i="5"/>
  <c r="C42" i="5"/>
  <c r="C43" i="5"/>
  <c r="C44" i="5"/>
  <c r="C40" i="5"/>
  <c r="O145" i="5"/>
  <c r="O146" i="5"/>
  <c r="O147" i="5"/>
  <c r="O148" i="5"/>
  <c r="O142" i="5"/>
  <c r="C45" i="5" s="1"/>
  <c r="O138" i="5"/>
  <c r="C41" i="5" s="1"/>
  <c r="O139" i="5"/>
  <c r="O141" i="5"/>
  <c r="O143" i="5"/>
  <c r="C50" i="5" s="1"/>
  <c r="O144" i="5"/>
  <c r="C51" i="5" s="1"/>
  <c r="O140" i="5"/>
  <c r="O149" i="5"/>
  <c r="O150" i="5"/>
  <c r="O151" i="5"/>
  <c r="O137" i="5"/>
  <c r="D140" i="5" l="1"/>
  <c r="K43" i="5" s="1"/>
  <c r="D144" i="5"/>
  <c r="K51" i="5" s="1"/>
  <c r="D143" i="5"/>
  <c r="K50" i="5" s="1"/>
  <c r="D141" i="5"/>
  <c r="K44" i="5" s="1"/>
  <c r="D139" i="5"/>
  <c r="K42" i="5" s="1"/>
  <c r="D138" i="5"/>
  <c r="K41" i="5" s="1"/>
  <c r="D142" i="5"/>
  <c r="K45" i="5" s="1"/>
  <c r="D137" i="5"/>
  <c r="K40" i="5" s="1"/>
  <c r="D113" i="5"/>
  <c r="D110" i="5"/>
  <c r="D126" i="5"/>
  <c r="D121" i="5"/>
  <c r="G9" i="6" l="1"/>
  <c r="C7" i="7"/>
  <c r="G6" i="6"/>
  <c r="E8" i="7"/>
  <c r="S5" i="13" s="1"/>
  <c r="S38" i="13" s="1"/>
  <c r="C14" i="7"/>
  <c r="G14" i="6" s="1"/>
  <c r="C6" i="7"/>
  <c r="C10" i="7"/>
  <c r="J5" i="13"/>
  <c r="J38" i="13" s="1"/>
  <c r="J4" i="13"/>
  <c r="J37" i="13" s="1"/>
  <c r="AM21" i="6"/>
  <c r="AM22" i="6"/>
  <c r="AM23" i="6"/>
  <c r="AM24" i="6"/>
  <c r="AM25" i="6"/>
  <c r="AN25" i="6"/>
  <c r="AM26" i="6"/>
  <c r="AM27" i="6"/>
  <c r="AN27" i="6"/>
  <c r="AM28" i="6"/>
  <c r="AN28" i="6"/>
  <c r="AM29" i="6"/>
  <c r="AN29" i="6"/>
  <c r="AM30" i="6"/>
  <c r="AN30" i="6"/>
  <c r="AM31" i="6"/>
  <c r="AN31" i="6"/>
  <c r="AM32" i="6"/>
  <c r="AM33" i="6"/>
  <c r="AM34" i="6"/>
  <c r="AN34" i="6"/>
  <c r="AM35" i="6"/>
  <c r="AM36" i="6"/>
  <c r="AM37" i="6"/>
  <c r="AM38" i="6"/>
  <c r="AM39" i="6"/>
  <c r="AM40" i="6"/>
  <c r="AN40" i="6"/>
  <c r="AM41" i="6"/>
  <c r="AN41" i="6"/>
  <c r="AM42" i="6"/>
  <c r="AN42" i="6"/>
  <c r="AM43" i="6"/>
  <c r="AN43" i="6"/>
  <c r="AM44" i="6"/>
  <c r="AM45" i="6"/>
  <c r="AM46" i="6"/>
  <c r="AN46" i="6"/>
  <c r="AM47" i="6"/>
  <c r="AN47" i="6"/>
  <c r="AM48" i="6"/>
  <c r="AN48" i="6"/>
  <c r="AM49" i="6"/>
  <c r="AN49" i="6"/>
  <c r="AM50" i="6"/>
  <c r="AN50" i="6"/>
  <c r="AM51" i="6"/>
  <c r="AM52" i="6"/>
  <c r="AN52" i="6"/>
  <c r="AM53" i="6"/>
  <c r="AM54" i="6"/>
  <c r="AN54" i="6"/>
  <c r="AM55" i="6"/>
  <c r="AM56" i="6"/>
  <c r="AN56" i="6"/>
  <c r="AM57" i="6"/>
  <c r="AN57" i="6"/>
  <c r="AM58" i="6"/>
  <c r="AM59" i="6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31" i="12"/>
  <c r="D32" i="12" s="1"/>
  <c r="D33" i="12" s="1"/>
  <c r="D35" i="12"/>
  <c r="D36" i="12"/>
  <c r="D38" i="12"/>
  <c r="D40" i="12"/>
  <c r="D41" i="12" s="1"/>
  <c r="D30" i="12"/>
  <c r="I37" i="6"/>
  <c r="K37" i="6"/>
  <c r="M37" i="6"/>
  <c r="N37" i="6"/>
  <c r="Q37" i="6"/>
  <c r="G37" i="6" s="1"/>
  <c r="R37" i="6"/>
  <c r="H37" i="6" s="1"/>
  <c r="S37" i="6"/>
  <c r="T37" i="6"/>
  <c r="U37" i="6"/>
  <c r="V37" i="6"/>
  <c r="W37" i="6"/>
  <c r="I38" i="6"/>
  <c r="K38" i="6"/>
  <c r="M38" i="6"/>
  <c r="N38" i="6"/>
  <c r="Q38" i="6"/>
  <c r="G38" i="6" s="1"/>
  <c r="R38" i="6"/>
  <c r="H38" i="6" s="1"/>
  <c r="S38" i="6"/>
  <c r="T38" i="6"/>
  <c r="U38" i="6"/>
  <c r="V38" i="6"/>
  <c r="W38" i="6"/>
  <c r="I39" i="6"/>
  <c r="K39" i="6"/>
  <c r="M39" i="6"/>
  <c r="N39" i="6"/>
  <c r="Q39" i="6"/>
  <c r="G39" i="6" s="1"/>
  <c r="R39" i="6"/>
  <c r="H39" i="6" s="1"/>
  <c r="S39" i="6"/>
  <c r="T39" i="6"/>
  <c r="U39" i="6"/>
  <c r="V39" i="6"/>
  <c r="W39" i="6"/>
  <c r="I40" i="6"/>
  <c r="J40" i="6"/>
  <c r="K40" i="6"/>
  <c r="M40" i="6"/>
  <c r="N40" i="6"/>
  <c r="O40" i="6"/>
  <c r="Q40" i="6"/>
  <c r="G40" i="6" s="1"/>
  <c r="R40" i="6"/>
  <c r="H40" i="6" s="1"/>
  <c r="S40" i="6"/>
  <c r="T40" i="6"/>
  <c r="U40" i="6"/>
  <c r="V40" i="6"/>
  <c r="W40" i="6"/>
  <c r="I41" i="6"/>
  <c r="J41" i="6"/>
  <c r="K41" i="6"/>
  <c r="M41" i="6"/>
  <c r="N41" i="6"/>
  <c r="O41" i="6"/>
  <c r="Q41" i="6"/>
  <c r="G41" i="6" s="1"/>
  <c r="R41" i="6"/>
  <c r="H41" i="6" s="1"/>
  <c r="S41" i="6"/>
  <c r="T41" i="6"/>
  <c r="U41" i="6"/>
  <c r="V41" i="6"/>
  <c r="W41" i="6"/>
  <c r="I42" i="6"/>
  <c r="J42" i="6"/>
  <c r="K42" i="6"/>
  <c r="M42" i="6"/>
  <c r="N42" i="6"/>
  <c r="O42" i="6"/>
  <c r="Q42" i="6"/>
  <c r="G42" i="6" s="1"/>
  <c r="R42" i="6"/>
  <c r="H42" i="6" s="1"/>
  <c r="S42" i="6"/>
  <c r="T42" i="6"/>
  <c r="U42" i="6"/>
  <c r="V42" i="6"/>
  <c r="W42" i="6"/>
  <c r="I43" i="6"/>
  <c r="J43" i="6"/>
  <c r="K43" i="6"/>
  <c r="M43" i="6"/>
  <c r="N43" i="6"/>
  <c r="O43" i="6"/>
  <c r="Q43" i="6"/>
  <c r="G43" i="6" s="1"/>
  <c r="R43" i="6"/>
  <c r="H43" i="6" s="1"/>
  <c r="S43" i="6"/>
  <c r="T43" i="6"/>
  <c r="U43" i="6"/>
  <c r="V43" i="6"/>
  <c r="W43" i="6"/>
  <c r="I44" i="6"/>
  <c r="J44" i="6"/>
  <c r="K44" i="6"/>
  <c r="M44" i="6"/>
  <c r="N44" i="6"/>
  <c r="O44" i="6"/>
  <c r="Q44" i="6"/>
  <c r="G44" i="6" s="1"/>
  <c r="R44" i="6"/>
  <c r="H44" i="6" s="1"/>
  <c r="S44" i="6"/>
  <c r="T44" i="6"/>
  <c r="U44" i="6"/>
  <c r="V44" i="6"/>
  <c r="W44" i="6"/>
  <c r="I45" i="6"/>
  <c r="J45" i="6"/>
  <c r="K45" i="6"/>
  <c r="M45" i="6"/>
  <c r="N45" i="6"/>
  <c r="O45" i="6"/>
  <c r="Q45" i="6"/>
  <c r="G45" i="6" s="1"/>
  <c r="R45" i="6"/>
  <c r="H45" i="6" s="1"/>
  <c r="S45" i="6"/>
  <c r="T45" i="6"/>
  <c r="U45" i="6"/>
  <c r="V45" i="6"/>
  <c r="W45" i="6"/>
  <c r="I46" i="6"/>
  <c r="J46" i="6"/>
  <c r="K46" i="6"/>
  <c r="M46" i="6"/>
  <c r="N46" i="6"/>
  <c r="O46" i="6"/>
  <c r="Q46" i="6"/>
  <c r="G46" i="6" s="1"/>
  <c r="R46" i="6"/>
  <c r="H46" i="6" s="1"/>
  <c r="S46" i="6"/>
  <c r="T46" i="6"/>
  <c r="U46" i="6"/>
  <c r="V46" i="6"/>
  <c r="W46" i="6"/>
  <c r="I47" i="6"/>
  <c r="J47" i="6"/>
  <c r="K47" i="6"/>
  <c r="M47" i="6"/>
  <c r="N47" i="6"/>
  <c r="O47" i="6"/>
  <c r="Q47" i="6"/>
  <c r="G47" i="6" s="1"/>
  <c r="R47" i="6"/>
  <c r="H47" i="6" s="1"/>
  <c r="S47" i="6"/>
  <c r="T47" i="6"/>
  <c r="U47" i="6"/>
  <c r="V47" i="6"/>
  <c r="W47" i="6"/>
  <c r="I48" i="6"/>
  <c r="J48" i="6"/>
  <c r="K48" i="6"/>
  <c r="M48" i="6"/>
  <c r="N48" i="6"/>
  <c r="O48" i="6"/>
  <c r="Q48" i="6"/>
  <c r="G48" i="6" s="1"/>
  <c r="R48" i="6"/>
  <c r="H48" i="6" s="1"/>
  <c r="S48" i="6"/>
  <c r="T48" i="6"/>
  <c r="U48" i="6"/>
  <c r="V48" i="6"/>
  <c r="W48" i="6"/>
  <c r="I49" i="6"/>
  <c r="J49" i="6"/>
  <c r="K49" i="6"/>
  <c r="M49" i="6"/>
  <c r="N49" i="6"/>
  <c r="O49" i="6"/>
  <c r="Q49" i="6"/>
  <c r="G49" i="6" s="1"/>
  <c r="R49" i="6"/>
  <c r="H49" i="6" s="1"/>
  <c r="S49" i="6"/>
  <c r="T49" i="6"/>
  <c r="U49" i="6"/>
  <c r="V49" i="6"/>
  <c r="W49" i="6"/>
  <c r="I50" i="6"/>
  <c r="J50" i="6"/>
  <c r="K50" i="6"/>
  <c r="M50" i="6"/>
  <c r="N50" i="6"/>
  <c r="O50" i="6"/>
  <c r="Q50" i="6"/>
  <c r="G50" i="6" s="1"/>
  <c r="R50" i="6"/>
  <c r="H50" i="6" s="1"/>
  <c r="S50" i="6"/>
  <c r="T50" i="6"/>
  <c r="U50" i="6"/>
  <c r="V50" i="6"/>
  <c r="W50" i="6"/>
  <c r="I51" i="6"/>
  <c r="J51" i="6"/>
  <c r="K51" i="6"/>
  <c r="M51" i="6"/>
  <c r="N51" i="6"/>
  <c r="O51" i="6"/>
  <c r="Q51" i="6"/>
  <c r="G51" i="6" s="1"/>
  <c r="R51" i="6"/>
  <c r="H51" i="6" s="1"/>
  <c r="S51" i="6"/>
  <c r="T51" i="6"/>
  <c r="U51" i="6"/>
  <c r="V51" i="6"/>
  <c r="W51" i="6"/>
  <c r="I52" i="6"/>
  <c r="J52" i="6"/>
  <c r="K52" i="6"/>
  <c r="M52" i="6"/>
  <c r="N52" i="6"/>
  <c r="O52" i="6"/>
  <c r="Q52" i="6"/>
  <c r="G52" i="6" s="1"/>
  <c r="R52" i="6"/>
  <c r="H52" i="6" s="1"/>
  <c r="S52" i="6"/>
  <c r="T52" i="6"/>
  <c r="U52" i="6"/>
  <c r="V52" i="6"/>
  <c r="W52" i="6"/>
  <c r="I53" i="6"/>
  <c r="J53" i="6"/>
  <c r="K53" i="6"/>
  <c r="M53" i="6"/>
  <c r="N53" i="6"/>
  <c r="O53" i="6"/>
  <c r="Q53" i="6"/>
  <c r="G53" i="6" s="1"/>
  <c r="R53" i="6"/>
  <c r="H53" i="6" s="1"/>
  <c r="S53" i="6"/>
  <c r="T53" i="6"/>
  <c r="U53" i="6"/>
  <c r="V53" i="6"/>
  <c r="W53" i="6"/>
  <c r="I54" i="6"/>
  <c r="J54" i="6"/>
  <c r="K54" i="6"/>
  <c r="M54" i="6"/>
  <c r="N54" i="6"/>
  <c r="O54" i="6"/>
  <c r="Q54" i="6"/>
  <c r="G54" i="6" s="1"/>
  <c r="R54" i="6"/>
  <c r="H54" i="6" s="1"/>
  <c r="S54" i="6"/>
  <c r="T54" i="6"/>
  <c r="U54" i="6"/>
  <c r="V54" i="6"/>
  <c r="W54" i="6"/>
  <c r="I55" i="6"/>
  <c r="J55" i="6"/>
  <c r="K55" i="6"/>
  <c r="M55" i="6"/>
  <c r="N55" i="6"/>
  <c r="O55" i="6"/>
  <c r="Q55" i="6"/>
  <c r="G55" i="6" s="1"/>
  <c r="R55" i="6"/>
  <c r="H55" i="6" s="1"/>
  <c r="S55" i="6"/>
  <c r="T55" i="6"/>
  <c r="U55" i="6"/>
  <c r="V55" i="6"/>
  <c r="W55" i="6"/>
  <c r="I56" i="6"/>
  <c r="J56" i="6"/>
  <c r="K56" i="6"/>
  <c r="M56" i="6"/>
  <c r="N56" i="6"/>
  <c r="O56" i="6"/>
  <c r="Q56" i="6"/>
  <c r="G56" i="6" s="1"/>
  <c r="R56" i="6"/>
  <c r="H56" i="6" s="1"/>
  <c r="S56" i="6"/>
  <c r="T56" i="6"/>
  <c r="U56" i="6"/>
  <c r="V56" i="6"/>
  <c r="W56" i="6"/>
  <c r="I57" i="6"/>
  <c r="J57" i="6"/>
  <c r="K57" i="6"/>
  <c r="M57" i="6"/>
  <c r="N57" i="6"/>
  <c r="O57" i="6"/>
  <c r="Q57" i="6"/>
  <c r="G57" i="6" s="1"/>
  <c r="R57" i="6"/>
  <c r="H57" i="6" s="1"/>
  <c r="S57" i="6"/>
  <c r="T57" i="6"/>
  <c r="U57" i="6"/>
  <c r="V57" i="6"/>
  <c r="W57" i="6"/>
  <c r="I58" i="6"/>
  <c r="J58" i="6"/>
  <c r="K58" i="6"/>
  <c r="M58" i="6"/>
  <c r="N58" i="6"/>
  <c r="O58" i="6"/>
  <c r="Q58" i="6"/>
  <c r="G58" i="6" s="1"/>
  <c r="R58" i="6"/>
  <c r="H58" i="6" s="1"/>
  <c r="S58" i="6"/>
  <c r="T58" i="6"/>
  <c r="U58" i="6"/>
  <c r="V58" i="6"/>
  <c r="W58" i="6"/>
  <c r="I59" i="6"/>
  <c r="J59" i="6"/>
  <c r="K59" i="6"/>
  <c r="M59" i="6"/>
  <c r="N59" i="6"/>
  <c r="O59" i="6"/>
  <c r="Q59" i="6"/>
  <c r="G59" i="6" s="1"/>
  <c r="R59" i="6"/>
  <c r="H59" i="6" s="1"/>
  <c r="S59" i="6"/>
  <c r="T59" i="6"/>
  <c r="U59" i="6"/>
  <c r="V59" i="6"/>
  <c r="W59" i="6"/>
  <c r="N36" i="6"/>
  <c r="N35" i="6"/>
  <c r="N34" i="6"/>
  <c r="N33" i="6"/>
  <c r="N32" i="6"/>
  <c r="N31" i="6"/>
  <c r="N30" i="6"/>
  <c r="N29" i="6"/>
  <c r="N28" i="6"/>
  <c r="N27" i="6"/>
  <c r="N26" i="6"/>
  <c r="N22" i="6"/>
  <c r="N21" i="6"/>
  <c r="N20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N20" i="5"/>
  <c r="U29" i="6" s="1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7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H99" i="5"/>
  <c r="H98" i="5"/>
  <c r="H97" i="5"/>
  <c r="H96" i="5"/>
  <c r="H95" i="5"/>
  <c r="H94" i="5"/>
  <c r="H93" i="5"/>
  <c r="H92" i="5"/>
  <c r="H91" i="5"/>
  <c r="J39" i="6" s="1"/>
  <c r="H90" i="5"/>
  <c r="J38" i="6" s="1"/>
  <c r="H89" i="5"/>
  <c r="H88" i="5"/>
  <c r="H87" i="5"/>
  <c r="H86" i="5"/>
  <c r="H85" i="5"/>
  <c r="H84" i="5"/>
  <c r="H83" i="5"/>
  <c r="H82" i="5"/>
  <c r="J37" i="6" s="1"/>
  <c r="H81" i="5"/>
  <c r="H79" i="5"/>
  <c r="H78" i="5"/>
  <c r="H77" i="5"/>
  <c r="H76" i="5"/>
  <c r="H75" i="5"/>
  <c r="H74" i="5"/>
  <c r="H73" i="5"/>
  <c r="H72" i="5"/>
  <c r="H71" i="5"/>
  <c r="H70" i="5"/>
  <c r="J33" i="6" s="1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1" i="5"/>
  <c r="H50" i="5"/>
  <c r="H49" i="5"/>
  <c r="H48" i="5"/>
  <c r="H47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J24" i="6" s="1"/>
  <c r="H29" i="5"/>
  <c r="H28" i="5"/>
  <c r="H27" i="5"/>
  <c r="H26" i="5"/>
  <c r="H25" i="5"/>
  <c r="H24" i="5"/>
  <c r="H23" i="5"/>
  <c r="H22" i="5"/>
  <c r="H21" i="5"/>
  <c r="H20" i="5"/>
  <c r="J29" i="6" s="1"/>
  <c r="H19" i="5"/>
  <c r="H18" i="5"/>
  <c r="H17" i="5"/>
  <c r="H16" i="5"/>
  <c r="H15" i="5"/>
  <c r="H14" i="5"/>
  <c r="J35" i="6" s="1"/>
  <c r="H13" i="5"/>
  <c r="J23" i="6" s="1"/>
  <c r="H12" i="5"/>
  <c r="J22" i="6" s="1"/>
  <c r="H11" i="5"/>
  <c r="J21" i="6" s="1"/>
  <c r="H10" i="5"/>
  <c r="J20" i="6" s="1"/>
  <c r="AM20" i="6"/>
  <c r="AB59" i="6"/>
  <c r="AA59" i="6"/>
  <c r="Z59" i="6"/>
  <c r="Y59" i="6"/>
  <c r="X59" i="6"/>
  <c r="C59" i="6"/>
  <c r="AB58" i="6"/>
  <c r="AA58" i="6"/>
  <c r="Z58" i="6"/>
  <c r="Y58" i="6"/>
  <c r="X58" i="6"/>
  <c r="C58" i="6"/>
  <c r="A134" i="7" s="1"/>
  <c r="AB57" i="6"/>
  <c r="AA57" i="6"/>
  <c r="Z57" i="6"/>
  <c r="Y57" i="6"/>
  <c r="X57" i="6"/>
  <c r="C57" i="6"/>
  <c r="AB56" i="6"/>
  <c r="AA56" i="6"/>
  <c r="Z56" i="6"/>
  <c r="Y56" i="6"/>
  <c r="X56" i="6"/>
  <c r="C56" i="6"/>
  <c r="B132" i="7" s="1"/>
  <c r="AB55" i="6"/>
  <c r="AA55" i="6"/>
  <c r="Z55" i="6"/>
  <c r="Y55" i="6"/>
  <c r="X55" i="6"/>
  <c r="C55" i="6"/>
  <c r="AB54" i="6"/>
  <c r="AA54" i="6"/>
  <c r="Z54" i="6"/>
  <c r="Y54" i="6"/>
  <c r="X54" i="6"/>
  <c r="C54" i="6"/>
  <c r="B130" i="7" s="1"/>
  <c r="AB53" i="6"/>
  <c r="AA53" i="6"/>
  <c r="Z53" i="6"/>
  <c r="Y53" i="6"/>
  <c r="X53" i="6"/>
  <c r="C53" i="6"/>
  <c r="B91" i="7" s="1"/>
  <c r="AB52" i="6"/>
  <c r="AA52" i="6"/>
  <c r="Z52" i="6"/>
  <c r="Y52" i="6"/>
  <c r="X52" i="6"/>
  <c r="C52" i="6"/>
  <c r="B90" i="7" s="1"/>
  <c r="AB51" i="6"/>
  <c r="AA51" i="6"/>
  <c r="Z51" i="6"/>
  <c r="Y51" i="6"/>
  <c r="X51" i="6"/>
  <c r="C51" i="6"/>
  <c r="AB50" i="6"/>
  <c r="AA50" i="6"/>
  <c r="Z50" i="6"/>
  <c r="Y50" i="6"/>
  <c r="X50" i="6"/>
  <c r="C50" i="6"/>
  <c r="E88" i="7" s="1"/>
  <c r="AB49" i="6"/>
  <c r="AA49" i="6"/>
  <c r="Z49" i="6"/>
  <c r="Y49" i="6"/>
  <c r="X49" i="6"/>
  <c r="C49" i="6"/>
  <c r="AB48" i="6"/>
  <c r="AA48" i="6"/>
  <c r="Z48" i="6"/>
  <c r="Y48" i="6"/>
  <c r="X48" i="6"/>
  <c r="C48" i="6"/>
  <c r="B86" i="7" s="1"/>
  <c r="AB47" i="6"/>
  <c r="AA47" i="6"/>
  <c r="Z47" i="6"/>
  <c r="Y47" i="6"/>
  <c r="X47" i="6"/>
  <c r="C47" i="6"/>
  <c r="AB46" i="6"/>
  <c r="AA46" i="6"/>
  <c r="Z46" i="6"/>
  <c r="Y46" i="6"/>
  <c r="X46" i="6"/>
  <c r="C46" i="6"/>
  <c r="E122" i="7" s="1"/>
  <c r="AB45" i="6"/>
  <c r="AA45" i="6"/>
  <c r="Z45" i="6"/>
  <c r="Y45" i="6"/>
  <c r="X45" i="6"/>
  <c r="C45" i="6"/>
  <c r="AB44" i="6"/>
  <c r="AA44" i="6"/>
  <c r="Z44" i="6"/>
  <c r="Y44" i="6"/>
  <c r="X44" i="6"/>
  <c r="C44" i="6"/>
  <c r="E120" i="7" s="1"/>
  <c r="AB43" i="6"/>
  <c r="AA43" i="6"/>
  <c r="Z43" i="6"/>
  <c r="Y43" i="6"/>
  <c r="X43" i="6"/>
  <c r="C43" i="6"/>
  <c r="AB42" i="6"/>
  <c r="AA42" i="6"/>
  <c r="Z42" i="6"/>
  <c r="Y42" i="6"/>
  <c r="X42" i="6"/>
  <c r="C42" i="6"/>
  <c r="E77" i="7" s="1"/>
  <c r="AB41" i="6"/>
  <c r="AA41" i="6"/>
  <c r="Z41" i="6"/>
  <c r="Y41" i="6"/>
  <c r="X41" i="6"/>
  <c r="C41" i="6"/>
  <c r="AB40" i="6"/>
  <c r="AA40" i="6"/>
  <c r="Z40" i="6"/>
  <c r="Y40" i="6"/>
  <c r="X40" i="6"/>
  <c r="C40" i="6"/>
  <c r="B75" i="7" s="1"/>
  <c r="AB39" i="6"/>
  <c r="AA39" i="6"/>
  <c r="Z39" i="6"/>
  <c r="Y39" i="6"/>
  <c r="X39" i="6"/>
  <c r="C39" i="6"/>
  <c r="A115" i="7" s="1"/>
  <c r="AB38" i="6"/>
  <c r="AA38" i="6"/>
  <c r="Z38" i="6"/>
  <c r="Y38" i="6"/>
  <c r="X38" i="6"/>
  <c r="C38" i="6"/>
  <c r="A114" i="7" s="1"/>
  <c r="AB37" i="6"/>
  <c r="AA37" i="6"/>
  <c r="Z37" i="6"/>
  <c r="Y37" i="6"/>
  <c r="X37" i="6"/>
  <c r="C37" i="6"/>
  <c r="AB36" i="6"/>
  <c r="AA36" i="6"/>
  <c r="Z36" i="6"/>
  <c r="Y36" i="6"/>
  <c r="X36" i="6"/>
  <c r="W36" i="6"/>
  <c r="V36" i="6"/>
  <c r="U36" i="6"/>
  <c r="T36" i="6"/>
  <c r="AN59" i="6" s="1"/>
  <c r="S36" i="6"/>
  <c r="R36" i="6"/>
  <c r="H36" i="6" s="1"/>
  <c r="Q36" i="6"/>
  <c r="G36" i="6" s="1"/>
  <c r="K36" i="6"/>
  <c r="I36" i="6"/>
  <c r="C36" i="6"/>
  <c r="A71" i="7" s="1"/>
  <c r="AB35" i="6"/>
  <c r="AA35" i="6"/>
  <c r="Z35" i="6"/>
  <c r="Y35" i="6"/>
  <c r="X35" i="6"/>
  <c r="W35" i="6"/>
  <c r="V35" i="6"/>
  <c r="U35" i="6"/>
  <c r="T35" i="6"/>
  <c r="S35" i="6"/>
  <c r="R35" i="6"/>
  <c r="H35" i="6" s="1"/>
  <c r="Q35" i="6"/>
  <c r="G35" i="6" s="1"/>
  <c r="K35" i="6"/>
  <c r="I35" i="6"/>
  <c r="C35" i="6"/>
  <c r="A111" i="7" s="1"/>
  <c r="AB34" i="6"/>
  <c r="AA34" i="6"/>
  <c r="Z34" i="6"/>
  <c r="Y34" i="6"/>
  <c r="X34" i="6"/>
  <c r="W34" i="6"/>
  <c r="V34" i="6"/>
  <c r="U34" i="6"/>
  <c r="T34" i="6"/>
  <c r="S34" i="6"/>
  <c r="R34" i="6"/>
  <c r="H34" i="6" s="1"/>
  <c r="Q34" i="6"/>
  <c r="G34" i="6" s="1"/>
  <c r="K34" i="6"/>
  <c r="C34" i="6"/>
  <c r="A110" i="7" s="1"/>
  <c r="AB33" i="6"/>
  <c r="AA33" i="6"/>
  <c r="Z33" i="6"/>
  <c r="Y33" i="6"/>
  <c r="X33" i="6"/>
  <c r="W33" i="6"/>
  <c r="V33" i="6"/>
  <c r="U33" i="6"/>
  <c r="T33" i="6"/>
  <c r="AN53" i="6" s="1"/>
  <c r="S33" i="6"/>
  <c r="R33" i="6"/>
  <c r="H33" i="6" s="1"/>
  <c r="Q33" i="6"/>
  <c r="G33" i="6" s="1"/>
  <c r="K33" i="6"/>
  <c r="I33" i="6"/>
  <c r="C33" i="6"/>
  <c r="B68" i="7" s="1"/>
  <c r="AB32" i="6"/>
  <c r="AA32" i="6"/>
  <c r="Z32" i="6"/>
  <c r="Y32" i="6"/>
  <c r="X32" i="6"/>
  <c r="W32" i="6"/>
  <c r="T32" i="6"/>
  <c r="AN45" i="6"/>
  <c r="S32" i="6"/>
  <c r="R32" i="6"/>
  <c r="H32" i="6" s="1"/>
  <c r="Q32" i="6"/>
  <c r="G32" i="6" s="1"/>
  <c r="K32" i="6"/>
  <c r="I32" i="6"/>
  <c r="C32" i="6"/>
  <c r="AB31" i="6"/>
  <c r="AA31" i="6"/>
  <c r="Z31" i="6"/>
  <c r="Y31" i="6"/>
  <c r="X31" i="6"/>
  <c r="W31" i="6"/>
  <c r="T31" i="6"/>
  <c r="S31" i="6"/>
  <c r="R31" i="6"/>
  <c r="H31" i="6" s="1"/>
  <c r="Q31" i="6"/>
  <c r="G31" i="6" s="1"/>
  <c r="K31" i="6"/>
  <c r="C31" i="6"/>
  <c r="B66" i="7" s="1"/>
  <c r="AB30" i="6"/>
  <c r="AA30" i="6"/>
  <c r="Z30" i="6"/>
  <c r="Y30" i="6"/>
  <c r="X30" i="6"/>
  <c r="W30" i="6"/>
  <c r="V30" i="6"/>
  <c r="U30" i="6"/>
  <c r="T30" i="6"/>
  <c r="S30" i="6"/>
  <c r="R30" i="6"/>
  <c r="H30" i="6" s="1"/>
  <c r="Q30" i="6"/>
  <c r="G30" i="6" s="1"/>
  <c r="K30" i="6"/>
  <c r="I30" i="6"/>
  <c r="C30" i="6"/>
  <c r="B65" i="7" s="1"/>
  <c r="AB29" i="6"/>
  <c r="AA29" i="6"/>
  <c r="Z29" i="6"/>
  <c r="Y29" i="6"/>
  <c r="X29" i="6"/>
  <c r="W29" i="6"/>
  <c r="T29" i="6"/>
  <c r="S29" i="6"/>
  <c r="R29" i="6"/>
  <c r="H29" i="6" s="1"/>
  <c r="Q29" i="6"/>
  <c r="G29" i="6" s="1"/>
  <c r="K29" i="6"/>
  <c r="I29" i="6"/>
  <c r="C29" i="6"/>
  <c r="A105" i="7" s="1"/>
  <c r="AB28" i="6"/>
  <c r="AA28" i="6"/>
  <c r="Z28" i="6"/>
  <c r="Y28" i="6"/>
  <c r="X28" i="6"/>
  <c r="W28" i="6"/>
  <c r="U28" i="6"/>
  <c r="T28" i="6"/>
  <c r="S28" i="6"/>
  <c r="R28" i="6"/>
  <c r="H28" i="6" s="1"/>
  <c r="Q28" i="6"/>
  <c r="G28" i="6" s="1"/>
  <c r="K28" i="6"/>
  <c r="I28" i="6"/>
  <c r="C28" i="6"/>
  <c r="A63" i="7" s="1"/>
  <c r="AB27" i="6"/>
  <c r="AA27" i="6"/>
  <c r="Z27" i="6"/>
  <c r="Y27" i="6"/>
  <c r="X27" i="6"/>
  <c r="W27" i="6"/>
  <c r="V27" i="6"/>
  <c r="U27" i="6"/>
  <c r="T27" i="6"/>
  <c r="AN36" i="6" s="1"/>
  <c r="S27" i="6"/>
  <c r="R27" i="6"/>
  <c r="H27" i="6" s="1"/>
  <c r="Q27" i="6"/>
  <c r="G27" i="6" s="1"/>
  <c r="K27" i="6"/>
  <c r="C27" i="6"/>
  <c r="B62" i="7" s="1"/>
  <c r="AB26" i="6"/>
  <c r="AA26" i="6"/>
  <c r="Y26" i="6"/>
  <c r="X26" i="6"/>
  <c r="W26" i="6"/>
  <c r="T26" i="6"/>
  <c r="AN35" i="6" s="1"/>
  <c r="S26" i="6"/>
  <c r="R26" i="6"/>
  <c r="H26" i="6" s="1"/>
  <c r="Q26" i="6"/>
  <c r="G26" i="6" s="1"/>
  <c r="K26" i="6"/>
  <c r="I26" i="6"/>
  <c r="C26" i="6"/>
  <c r="A61" i="7" s="1"/>
  <c r="AB25" i="6"/>
  <c r="AA25" i="6"/>
  <c r="Y25" i="6"/>
  <c r="X25" i="6"/>
  <c r="W25" i="6"/>
  <c r="V25" i="6"/>
  <c r="Z25" i="6" s="1"/>
  <c r="U25" i="6"/>
  <c r="T25" i="6"/>
  <c r="S25" i="6"/>
  <c r="R25" i="6"/>
  <c r="H25" i="6" s="1"/>
  <c r="Q25" i="6"/>
  <c r="G25" i="6" s="1"/>
  <c r="K25" i="6"/>
  <c r="C25" i="6"/>
  <c r="A101" i="7" s="1"/>
  <c r="AB24" i="6"/>
  <c r="AA24" i="6"/>
  <c r="Y24" i="6"/>
  <c r="X24" i="6"/>
  <c r="W24" i="6"/>
  <c r="V24" i="6"/>
  <c r="Z24" i="6" s="1"/>
  <c r="U24" i="6"/>
  <c r="T24" i="6"/>
  <c r="S24" i="6"/>
  <c r="R24" i="6"/>
  <c r="H24" i="6" s="1"/>
  <c r="Q24" i="6"/>
  <c r="G24" i="6" s="1"/>
  <c r="K24" i="6"/>
  <c r="I24" i="6"/>
  <c r="C24" i="6"/>
  <c r="A100" i="7" s="1"/>
  <c r="AB23" i="6"/>
  <c r="AA23" i="6"/>
  <c r="Z23" i="6"/>
  <c r="Y23" i="6"/>
  <c r="X23" i="6"/>
  <c r="W23" i="6"/>
  <c r="V23" i="6"/>
  <c r="U23" i="6"/>
  <c r="T23" i="6"/>
  <c r="AN23" i="6" s="1"/>
  <c r="S23" i="6"/>
  <c r="R23" i="6"/>
  <c r="H23" i="6" s="1"/>
  <c r="Q23" i="6"/>
  <c r="G23" i="6" s="1"/>
  <c r="K23" i="6"/>
  <c r="I23" i="6"/>
  <c r="C23" i="6"/>
  <c r="A58" i="7" s="1"/>
  <c r="AB22" i="6"/>
  <c r="AA22" i="6"/>
  <c r="Z22" i="6"/>
  <c r="Y22" i="6"/>
  <c r="X22" i="6"/>
  <c r="W22" i="6"/>
  <c r="V22" i="6"/>
  <c r="U22" i="6"/>
  <c r="T22" i="6"/>
  <c r="AN22" i="6" s="1"/>
  <c r="S22" i="6"/>
  <c r="R22" i="6"/>
  <c r="H22" i="6" s="1"/>
  <c r="Q22" i="6"/>
  <c r="G22" i="6" s="1"/>
  <c r="K22" i="6"/>
  <c r="I22" i="6"/>
  <c r="C22" i="6"/>
  <c r="A57" i="7" s="1"/>
  <c r="AB21" i="6"/>
  <c r="AA21" i="6"/>
  <c r="Z21" i="6"/>
  <c r="Y21" i="6"/>
  <c r="X21" i="6"/>
  <c r="W21" i="6"/>
  <c r="V21" i="6"/>
  <c r="U21" i="6"/>
  <c r="T21" i="6"/>
  <c r="AN21" i="6" s="1"/>
  <c r="S21" i="6"/>
  <c r="R21" i="6"/>
  <c r="H21" i="6" s="1"/>
  <c r="Q21" i="6"/>
  <c r="G21" i="6" s="1"/>
  <c r="K21" i="6"/>
  <c r="I21" i="6"/>
  <c r="C21" i="6"/>
  <c r="B56" i="7" s="1"/>
  <c r="AG59" i="6"/>
  <c r="AG58" i="6"/>
  <c r="AG56" i="6"/>
  <c r="AG55" i="6"/>
  <c r="AG54" i="6"/>
  <c r="AG53" i="6"/>
  <c r="AG51" i="6"/>
  <c r="AG49" i="6"/>
  <c r="AG48" i="6"/>
  <c r="AG47" i="6"/>
  <c r="AG45" i="6"/>
  <c r="AG44" i="6"/>
  <c r="AG43" i="6"/>
  <c r="AG41" i="6"/>
  <c r="AG40" i="6"/>
  <c r="AG39" i="6"/>
  <c r="AG38" i="6"/>
  <c r="AG37" i="6"/>
  <c r="AG36" i="6"/>
  <c r="AG35" i="6"/>
  <c r="AG33" i="6"/>
  <c r="AG32" i="6"/>
  <c r="AG30" i="6"/>
  <c r="AG29" i="6"/>
  <c r="AG28" i="6"/>
  <c r="AG27" i="6"/>
  <c r="AG26" i="6"/>
  <c r="AG24" i="6"/>
  <c r="AG23" i="6"/>
  <c r="AG22" i="6"/>
  <c r="AG21" i="6"/>
  <c r="AG20" i="6"/>
  <c r="C20" i="6"/>
  <c r="B55" i="7" s="1"/>
  <c r="X20" i="6"/>
  <c r="AB20" i="6"/>
  <c r="Z20" i="6"/>
  <c r="Y20" i="6"/>
  <c r="AA20" i="6"/>
  <c r="K13" i="5"/>
  <c r="N23" i="6" s="1"/>
  <c r="K21" i="5"/>
  <c r="K22" i="5"/>
  <c r="K23" i="5"/>
  <c r="W20" i="6"/>
  <c r="V20" i="6"/>
  <c r="U20" i="6"/>
  <c r="T20" i="6"/>
  <c r="AN20" i="6" s="1"/>
  <c r="S20" i="6"/>
  <c r="R20" i="6"/>
  <c r="H20" i="6" s="1"/>
  <c r="Q20" i="6"/>
  <c r="G20" i="6" s="1"/>
  <c r="M20" i="6"/>
  <c r="K20" i="6"/>
  <c r="A3" i="6"/>
  <c r="O24" i="6" s="1"/>
  <c r="A6" i="6"/>
  <c r="K61" i="5" s="1"/>
  <c r="I31" i="6"/>
  <c r="N51" i="5"/>
  <c r="R51" i="5" s="1"/>
  <c r="N50" i="5"/>
  <c r="R50" i="5" s="1"/>
  <c r="N45" i="5"/>
  <c r="R45" i="5" s="1"/>
  <c r="N44" i="5"/>
  <c r="R44" i="5" s="1"/>
  <c r="N43" i="5"/>
  <c r="R43" i="5" s="1"/>
  <c r="N42" i="5"/>
  <c r="R42" i="5" s="1"/>
  <c r="R41" i="5"/>
  <c r="U26" i="6"/>
  <c r="I20" i="6"/>
  <c r="AN39" i="6"/>
  <c r="I25" i="6"/>
  <c r="I27" i="6"/>
  <c r="I34" i="6"/>
  <c r="AH3" i="13"/>
  <c r="AH4" i="13"/>
  <c r="E11" i="7"/>
  <c r="E3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96" i="7"/>
  <c r="C33" i="13"/>
  <c r="C64" i="13" s="1"/>
  <c r="A43" i="7"/>
  <c r="A59" i="12"/>
  <c r="A40" i="14"/>
  <c r="C12" i="7"/>
  <c r="C30" i="14"/>
  <c r="B29" i="14"/>
  <c r="F28" i="14"/>
  <c r="F26" i="14"/>
  <c r="C5" i="13"/>
  <c r="C38" i="13" s="1"/>
  <c r="I1" i="13"/>
  <c r="I34" i="13" s="1"/>
  <c r="C5" i="5"/>
  <c r="E10" i="7"/>
  <c r="E12" i="13"/>
  <c r="D22" i="13"/>
  <c r="D21" i="13"/>
  <c r="L16" i="13"/>
  <c r="E16" i="13"/>
  <c r="A12" i="13"/>
  <c r="D5" i="5"/>
  <c r="A2" i="6" s="1"/>
  <c r="A4" i="6"/>
  <c r="K31" i="5" s="1"/>
  <c r="C15" i="7"/>
  <c r="G15" i="6" s="1"/>
  <c r="C8" i="7"/>
  <c r="S4" i="13" s="1"/>
  <c r="S37" i="13" s="1"/>
  <c r="D34" i="14"/>
  <c r="C34" i="14"/>
  <c r="D33" i="14"/>
  <c r="C33" i="14"/>
  <c r="D32" i="14"/>
  <c r="C32" i="14"/>
  <c r="D31" i="14"/>
  <c r="C31" i="14"/>
  <c r="D28" i="14"/>
  <c r="C28" i="14"/>
  <c r="D26" i="14"/>
  <c r="C26" i="14"/>
  <c r="D25" i="14"/>
  <c r="C25" i="14"/>
  <c r="E24" i="14"/>
  <c r="C24" i="14"/>
  <c r="E23" i="14"/>
  <c r="C23" i="14"/>
  <c r="E22" i="14"/>
  <c r="C22" i="14"/>
  <c r="E21" i="14"/>
  <c r="C21" i="14"/>
  <c r="E20" i="14"/>
  <c r="C20" i="14"/>
  <c r="D19" i="14"/>
  <c r="C19" i="14"/>
  <c r="D18" i="14"/>
  <c r="C18" i="14"/>
  <c r="D17" i="14"/>
  <c r="C17" i="14"/>
  <c r="E16" i="14"/>
  <c r="D16" i="14"/>
  <c r="C16" i="14"/>
  <c r="D15" i="14"/>
  <c r="C15" i="14"/>
  <c r="D14" i="14"/>
  <c r="C14" i="14"/>
  <c r="D13" i="14"/>
  <c r="C13" i="14"/>
  <c r="D11" i="14"/>
  <c r="C11" i="14"/>
  <c r="D10" i="14"/>
  <c r="C10" i="14"/>
  <c r="F20" i="13"/>
  <c r="D20" i="13" s="1"/>
  <c r="F22" i="13"/>
  <c r="F21" i="13"/>
  <c r="D30" i="14"/>
  <c r="E30" i="14"/>
  <c r="D12" i="14"/>
  <c r="C12" i="14"/>
  <c r="E12" i="14"/>
  <c r="N25" i="6"/>
  <c r="K1" i="13"/>
  <c r="AN58" i="6" l="1"/>
  <c r="AN37" i="6"/>
  <c r="J26" i="6"/>
  <c r="J36" i="6"/>
  <c r="AN44" i="6"/>
  <c r="AN32" i="6"/>
  <c r="K34" i="13"/>
  <c r="J20" i="14"/>
  <c r="C36" i="14" s="1"/>
  <c r="R40" i="5"/>
  <c r="V26" i="6" s="1"/>
  <c r="Z26" i="6" s="1"/>
  <c r="C102" i="7" s="1"/>
  <c r="R20" i="5"/>
  <c r="V32" i="6" s="1"/>
  <c r="J32" i="6"/>
  <c r="V29" i="6"/>
  <c r="AN24" i="6"/>
  <c r="E5" i="5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U31" i="6"/>
  <c r="V31" i="6"/>
  <c r="V28" i="6"/>
  <c r="U32" i="6"/>
  <c r="B103" i="7"/>
  <c r="J28" i="6"/>
  <c r="J31" i="6"/>
  <c r="L31" i="6" s="1"/>
  <c r="E31" i="6" s="1"/>
  <c r="AD31" i="6" s="1"/>
  <c r="C66" i="7" s="1"/>
  <c r="A65" i="7"/>
  <c r="K62" i="5"/>
  <c r="B109" i="7"/>
  <c r="L38" i="6"/>
  <c r="E38" i="6" s="1"/>
  <c r="AD38" i="6" s="1"/>
  <c r="E128" i="7"/>
  <c r="AN55" i="6"/>
  <c r="E92" i="7"/>
  <c r="O31" i="6"/>
  <c r="P31" i="6" s="1"/>
  <c r="F31" i="6" s="1"/>
  <c r="O26" i="6"/>
  <c r="P26" i="6" s="1"/>
  <c r="F26" i="6" s="1"/>
  <c r="O36" i="6"/>
  <c r="P36" i="6" s="1"/>
  <c r="F36" i="6" s="1"/>
  <c r="O39" i="6"/>
  <c r="P39" i="6" s="1"/>
  <c r="F39" i="6" s="1"/>
  <c r="O37" i="6"/>
  <c r="P37" i="6" s="1"/>
  <c r="F37" i="6" s="1"/>
  <c r="O27" i="6"/>
  <c r="P27" i="6" s="1"/>
  <c r="F27" i="6" s="1"/>
  <c r="O33" i="6"/>
  <c r="P33" i="6" s="1"/>
  <c r="F33" i="6" s="1"/>
  <c r="O32" i="6"/>
  <c r="P32" i="6" s="1"/>
  <c r="F32" i="6" s="1"/>
  <c r="O34" i="6"/>
  <c r="P34" i="6" s="1"/>
  <c r="F34" i="6" s="1"/>
  <c r="O29" i="6"/>
  <c r="P29" i="6" s="1"/>
  <c r="F29" i="6" s="1"/>
  <c r="O20" i="6"/>
  <c r="P20" i="6" s="1"/>
  <c r="F20" i="6" s="1"/>
  <c r="O38" i="6"/>
  <c r="P38" i="6" s="1"/>
  <c r="F38" i="6" s="1"/>
  <c r="O30" i="6"/>
  <c r="P30" i="6" s="1"/>
  <c r="F30" i="6" s="1"/>
  <c r="O25" i="6"/>
  <c r="P25" i="6" s="1"/>
  <c r="F25" i="6" s="1"/>
  <c r="O35" i="6"/>
  <c r="P35" i="6" s="1"/>
  <c r="F35" i="6" s="1"/>
  <c r="K30" i="5"/>
  <c r="N24" i="6" s="1"/>
  <c r="P24" i="6" s="1"/>
  <c r="F24" i="6" s="1"/>
  <c r="O28" i="6"/>
  <c r="P28" i="6" s="1"/>
  <c r="F28" i="6" s="1"/>
  <c r="O23" i="6"/>
  <c r="P23" i="6" s="1"/>
  <c r="F23" i="6" s="1"/>
  <c r="O22" i="6"/>
  <c r="P22" i="6" s="1"/>
  <c r="F22" i="6" s="1"/>
  <c r="O21" i="6"/>
  <c r="P21" i="6" s="1"/>
  <c r="F21" i="6" s="1"/>
  <c r="J30" i="6"/>
  <c r="L30" i="6" s="1"/>
  <c r="E30" i="6" s="1"/>
  <c r="AD30" i="6" s="1"/>
  <c r="C65" i="7" s="1"/>
  <c r="J34" i="6"/>
  <c r="L34" i="6" s="1"/>
  <c r="E34" i="6" s="1"/>
  <c r="AD34" i="6" s="1"/>
  <c r="C69" i="7" s="1"/>
  <c r="J27" i="6"/>
  <c r="L27" i="6" s="1"/>
  <c r="E27" i="6" s="1"/>
  <c r="AD27" i="6" s="1"/>
  <c r="C62" i="7" s="1"/>
  <c r="J25" i="6"/>
  <c r="L25" i="6" s="1"/>
  <c r="E25" i="6" s="1"/>
  <c r="AD25" i="6" s="1"/>
  <c r="C60" i="7" s="1"/>
  <c r="A109" i="7"/>
  <c r="L50" i="6"/>
  <c r="E50" i="6" s="1"/>
  <c r="AD50" i="6" s="1"/>
  <c r="C88" i="7" s="1"/>
  <c r="E114" i="7"/>
  <c r="A55" i="7"/>
  <c r="A69" i="7"/>
  <c r="AN26" i="6"/>
  <c r="L32" i="6"/>
  <c r="E32" i="6" s="1"/>
  <c r="AD32" i="6" s="1"/>
  <c r="C67" i="7" s="1"/>
  <c r="L55" i="6"/>
  <c r="E55" i="6" s="1"/>
  <c r="AD55" i="6" s="1"/>
  <c r="C93" i="7" s="1"/>
  <c r="L51" i="6"/>
  <c r="E51" i="6" s="1"/>
  <c r="AD51" i="6" s="1"/>
  <c r="C89" i="7" s="1"/>
  <c r="L45" i="6"/>
  <c r="E45" i="6" s="1"/>
  <c r="AD45" i="6" s="1"/>
  <c r="C80" i="7" s="1"/>
  <c r="E75" i="7"/>
  <c r="E116" i="7"/>
  <c r="L52" i="6"/>
  <c r="E52" i="6" s="1"/>
  <c r="AD52" i="6" s="1"/>
  <c r="C90" i="7" s="1"/>
  <c r="L47" i="6"/>
  <c r="E47" i="6" s="1"/>
  <c r="AD47" i="6" s="1"/>
  <c r="C85" i="7" s="1"/>
  <c r="B71" i="7"/>
  <c r="L58" i="6"/>
  <c r="E58" i="6" s="1"/>
  <c r="AD58" i="6" s="1"/>
  <c r="L43" i="6"/>
  <c r="E43" i="6" s="1"/>
  <c r="AD43" i="6" s="1"/>
  <c r="C78" i="7" s="1"/>
  <c r="A99" i="7"/>
  <c r="A75" i="7"/>
  <c r="A86" i="7"/>
  <c r="E57" i="7"/>
  <c r="P42" i="6"/>
  <c r="F42" i="6" s="1"/>
  <c r="B100" i="7"/>
  <c r="B84" i="7"/>
  <c r="B73" i="7"/>
  <c r="A66" i="7"/>
  <c r="B58" i="7"/>
  <c r="A77" i="7"/>
  <c r="B114" i="7"/>
  <c r="B116" i="7"/>
  <c r="B107" i="7"/>
  <c r="A73" i="7"/>
  <c r="B69" i="7"/>
  <c r="B59" i="7"/>
  <c r="E79" i="7"/>
  <c r="A70" i="7"/>
  <c r="B99" i="7"/>
  <c r="A118" i="7"/>
  <c r="A116" i="7"/>
  <c r="A68" i="7"/>
  <c r="E100" i="7"/>
  <c r="B110" i="7"/>
  <c r="A59" i="7"/>
  <c r="A60" i="7"/>
  <c r="E118" i="7"/>
  <c r="L36" i="6"/>
  <c r="E36" i="6" s="1"/>
  <c r="AD36" i="6" s="1"/>
  <c r="E134" i="7"/>
  <c r="E90" i="7"/>
  <c r="E126" i="7"/>
  <c r="A120" i="7"/>
  <c r="L33" i="6"/>
  <c r="E33" i="6" s="1"/>
  <c r="AD33" i="6" s="1"/>
  <c r="C68" i="7" s="1"/>
  <c r="E68" i="7"/>
  <c r="C131" i="7"/>
  <c r="P53" i="6"/>
  <c r="F53" i="6" s="1"/>
  <c r="P41" i="6"/>
  <c r="F41" i="6" s="1"/>
  <c r="B118" i="7"/>
  <c r="A92" i="7"/>
  <c r="A88" i="7"/>
  <c r="E124" i="7"/>
  <c r="L48" i="6"/>
  <c r="E48" i="6" s="1"/>
  <c r="AD48" i="6" s="1"/>
  <c r="C86" i="7" s="1"/>
  <c r="B134" i="7"/>
  <c r="E130" i="7"/>
  <c r="B88" i="7"/>
  <c r="B120" i="7"/>
  <c r="C98" i="7"/>
  <c r="E99" i="7"/>
  <c r="AN33" i="6"/>
  <c r="E58" i="7"/>
  <c r="B61" i="7"/>
  <c r="B102" i="7"/>
  <c r="A96" i="7"/>
  <c r="E103" i="7"/>
  <c r="E84" i="7"/>
  <c r="A62" i="7"/>
  <c r="A107" i="7"/>
  <c r="B70" i="7"/>
  <c r="B77" i="7"/>
  <c r="A79" i="7"/>
  <c r="B96" i="7"/>
  <c r="L28" i="6"/>
  <c r="E28" i="6" s="1"/>
  <c r="AD28" i="6" s="1"/>
  <c r="C63" i="7" s="1"/>
  <c r="L20" i="6"/>
  <c r="E20" i="6" s="1"/>
  <c r="AD20" i="6" s="1"/>
  <c r="C55" i="7" s="1"/>
  <c r="E132" i="7"/>
  <c r="B92" i="7"/>
  <c r="B128" i="7"/>
  <c r="A126" i="7"/>
  <c r="B124" i="7"/>
  <c r="A122" i="7"/>
  <c r="L21" i="6"/>
  <c r="E21" i="6" s="1"/>
  <c r="AD21" i="6" s="1"/>
  <c r="C56" i="7" s="1"/>
  <c r="P40" i="6"/>
  <c r="E96" i="7"/>
  <c r="P54" i="6"/>
  <c r="F54" i="6" s="1"/>
  <c r="P43" i="6"/>
  <c r="F43" i="6" s="1"/>
  <c r="L42" i="6"/>
  <c r="E42" i="6" s="1"/>
  <c r="AD42" i="6" s="1"/>
  <c r="C77" i="7" s="1"/>
  <c r="E111" i="7"/>
  <c r="E73" i="7"/>
  <c r="A84" i="7"/>
  <c r="A97" i="7"/>
  <c r="B79" i="7"/>
  <c r="L39" i="6"/>
  <c r="E39" i="6" s="1"/>
  <c r="AD39" i="6" s="1"/>
  <c r="A132" i="7"/>
  <c r="A130" i="7"/>
  <c r="B126" i="7"/>
  <c r="B122" i="7"/>
  <c r="AN51" i="6"/>
  <c r="C118" i="7"/>
  <c r="C134" i="7"/>
  <c r="L59" i="6"/>
  <c r="E59" i="6" s="1"/>
  <c r="AD59" i="6" s="1"/>
  <c r="P58" i="6"/>
  <c r="F58" i="6" s="1"/>
  <c r="P57" i="6"/>
  <c r="F57" i="6" s="1"/>
  <c r="L56" i="6"/>
  <c r="E56" i="6" s="1"/>
  <c r="AD56" i="6" s="1"/>
  <c r="P44" i="6"/>
  <c r="F44" i="6" s="1"/>
  <c r="L37" i="6"/>
  <c r="E37" i="6" s="1"/>
  <c r="AD37" i="6" s="1"/>
  <c r="C72" i="7" s="1"/>
  <c r="C96" i="7"/>
  <c r="L24" i="6"/>
  <c r="E24" i="6" s="1"/>
  <c r="AD24" i="6" s="1"/>
  <c r="C59" i="7" s="1"/>
  <c r="C106" i="7"/>
  <c r="E67" i="7"/>
  <c r="C113" i="7"/>
  <c r="C119" i="7"/>
  <c r="C122" i="7"/>
  <c r="C126" i="7"/>
  <c r="P55" i="6"/>
  <c r="F55" i="6" s="1"/>
  <c r="E66" i="7"/>
  <c r="B111" i="7"/>
  <c r="E102" i="7"/>
  <c r="E56" i="7"/>
  <c r="E63" i="7"/>
  <c r="E112" i="7"/>
  <c r="E61" i="7"/>
  <c r="A64" i="7"/>
  <c r="E109" i="7"/>
  <c r="A103" i="7"/>
  <c r="A102" i="7"/>
  <c r="B64" i="7"/>
  <c r="A112" i="7"/>
  <c r="B63" i="7"/>
  <c r="C103" i="7"/>
  <c r="L22" i="6"/>
  <c r="E22" i="6" s="1"/>
  <c r="AD22" i="6" s="1"/>
  <c r="C57" i="7" s="1"/>
  <c r="L57" i="6"/>
  <c r="E57" i="6" s="1"/>
  <c r="AD57" i="6" s="1"/>
  <c r="L53" i="6"/>
  <c r="E53" i="6" s="1"/>
  <c r="AD53" i="6" s="1"/>
  <c r="C91" i="7" s="1"/>
  <c r="P52" i="6"/>
  <c r="F52" i="6" s="1"/>
  <c r="L49" i="6"/>
  <c r="E49" i="6" s="1"/>
  <c r="AD49" i="6" s="1"/>
  <c r="C87" i="7" s="1"/>
  <c r="P48" i="6"/>
  <c r="F48" i="6" s="1"/>
  <c r="P46" i="6"/>
  <c r="F46" i="6" s="1"/>
  <c r="P45" i="6"/>
  <c r="F45" i="6" s="1"/>
  <c r="L41" i="6"/>
  <c r="E41" i="6" s="1"/>
  <c r="AD41" i="6" s="1"/>
  <c r="C76" i="7" s="1"/>
  <c r="E105" i="7"/>
  <c r="B104" i="7"/>
  <c r="B112" i="7"/>
  <c r="E55" i="7"/>
  <c r="E107" i="7"/>
  <c r="A56" i="7"/>
  <c r="A106" i="7"/>
  <c r="M22" i="13"/>
  <c r="C130" i="7"/>
  <c r="P49" i="6"/>
  <c r="F49" i="6" s="1"/>
  <c r="L44" i="6"/>
  <c r="E44" i="6" s="1"/>
  <c r="AD44" i="6" s="1"/>
  <c r="C79" i="7" s="1"/>
  <c r="B106" i="7"/>
  <c r="E71" i="7"/>
  <c r="E104" i="7"/>
  <c r="E97" i="7"/>
  <c r="B97" i="7"/>
  <c r="A104" i="7"/>
  <c r="L29" i="6"/>
  <c r="E29" i="6" s="1"/>
  <c r="AD29" i="6" s="1"/>
  <c r="C64" i="7" s="1"/>
  <c r="C110" i="7"/>
  <c r="E70" i="7"/>
  <c r="P56" i="6"/>
  <c r="F56" i="6" s="1"/>
  <c r="L54" i="6"/>
  <c r="E54" i="6" s="1"/>
  <c r="AD54" i="6" s="1"/>
  <c r="C92" i="7" s="1"/>
  <c r="P50" i="6"/>
  <c r="F50" i="6" s="1"/>
  <c r="C100" i="7"/>
  <c r="E108" i="7"/>
  <c r="B108" i="7"/>
  <c r="E101" i="7"/>
  <c r="B60" i="7"/>
  <c r="C105" i="7"/>
  <c r="B67" i="7"/>
  <c r="A67" i="7"/>
  <c r="E60" i="7"/>
  <c r="B101" i="7"/>
  <c r="L26" i="6"/>
  <c r="E26" i="6" s="1"/>
  <c r="AD26" i="6" s="1"/>
  <c r="E59" i="7"/>
  <c r="B113" i="7"/>
  <c r="B72" i="7"/>
  <c r="A113" i="7"/>
  <c r="A72" i="7"/>
  <c r="E72" i="7"/>
  <c r="E113" i="7"/>
  <c r="E117" i="7"/>
  <c r="B76" i="7"/>
  <c r="A76" i="7"/>
  <c r="A117" i="7"/>
  <c r="E76" i="7"/>
  <c r="B119" i="7"/>
  <c r="B78" i="7"/>
  <c r="A119" i="7"/>
  <c r="A78" i="7"/>
  <c r="A123" i="7"/>
  <c r="A85" i="7"/>
  <c r="B85" i="7"/>
  <c r="E123" i="7"/>
  <c r="E87" i="7"/>
  <c r="A87" i="7"/>
  <c r="E125" i="7"/>
  <c r="B87" i="7"/>
  <c r="B125" i="7"/>
  <c r="E89" i="7"/>
  <c r="A127" i="7"/>
  <c r="E127" i="7"/>
  <c r="B127" i="7"/>
  <c r="B89" i="7"/>
  <c r="E93" i="7"/>
  <c r="B93" i="7"/>
  <c r="A93" i="7"/>
  <c r="B131" i="7"/>
  <c r="E131" i="7"/>
  <c r="E133" i="7"/>
  <c r="B133" i="7"/>
  <c r="B117" i="7"/>
  <c r="A89" i="7"/>
  <c r="B57" i="7"/>
  <c r="A98" i="7"/>
  <c r="E98" i="7"/>
  <c r="B98" i="7"/>
  <c r="E69" i="7"/>
  <c r="E110" i="7"/>
  <c r="C121" i="7"/>
  <c r="C127" i="7"/>
  <c r="E85" i="7"/>
  <c r="A131" i="7"/>
  <c r="B123" i="7"/>
  <c r="C99" i="7"/>
  <c r="B74" i="7"/>
  <c r="E74" i="7"/>
  <c r="E115" i="7"/>
  <c r="A121" i="7"/>
  <c r="B121" i="7"/>
  <c r="E121" i="7"/>
  <c r="B80" i="7"/>
  <c r="E80" i="7"/>
  <c r="A80" i="7"/>
  <c r="B129" i="7"/>
  <c r="E129" i="7"/>
  <c r="A129" i="7"/>
  <c r="E91" i="7"/>
  <c r="A91" i="7"/>
  <c r="L23" i="6"/>
  <c r="E23" i="6" s="1"/>
  <c r="AD23" i="6" s="1"/>
  <c r="C58" i="7" s="1"/>
  <c r="C132" i="7"/>
  <c r="A74" i="7"/>
  <c r="E119" i="7"/>
  <c r="C104" i="7"/>
  <c r="E106" i="7"/>
  <c r="E65" i="7"/>
  <c r="C123" i="7"/>
  <c r="E78" i="7"/>
  <c r="B115" i="7"/>
  <c r="A133" i="7"/>
  <c r="A125" i="7"/>
  <c r="AC35" i="6"/>
  <c r="C111" i="7" s="1"/>
  <c r="C97" i="7"/>
  <c r="C101" i="7"/>
  <c r="C117" i="7"/>
  <c r="C125" i="7"/>
  <c r="C133" i="7"/>
  <c r="E64" i="7"/>
  <c r="E62" i="7"/>
  <c r="B105" i="7"/>
  <c r="AN38" i="6"/>
  <c r="P51" i="6"/>
  <c r="F51" i="6" s="1"/>
  <c r="L46" i="6"/>
  <c r="E46" i="6" s="1"/>
  <c r="AD46" i="6" s="1"/>
  <c r="C84" i="7" s="1"/>
  <c r="L40" i="6"/>
  <c r="AD40" i="6" s="1"/>
  <c r="C75" i="7" s="1"/>
  <c r="L35" i="6"/>
  <c r="E35" i="6" s="1"/>
  <c r="AD35" i="6" s="1"/>
  <c r="C109" i="7"/>
  <c r="AC36" i="6"/>
  <c r="C107" i="7"/>
  <c r="A124" i="7"/>
  <c r="E86" i="7"/>
  <c r="A128" i="7"/>
  <c r="A90" i="7"/>
  <c r="P59" i="6"/>
  <c r="F59" i="6" s="1"/>
  <c r="P47" i="6"/>
  <c r="F47" i="6" s="1"/>
  <c r="C37" i="14"/>
  <c r="C108" i="7"/>
  <c r="D15" i="12"/>
  <c r="A108" i="7"/>
  <c r="C124" i="7"/>
  <c r="C120" i="7"/>
  <c r="C129" i="7"/>
  <c r="D11" i="12"/>
  <c r="C116" i="7"/>
  <c r="C128" i="7"/>
  <c r="B5" i="12"/>
  <c r="B5" i="14"/>
  <c r="B3" i="14"/>
  <c r="B3" i="12"/>
  <c r="B6" i="12"/>
  <c r="B6" i="14"/>
  <c r="G13" i="6"/>
  <c r="C4" i="13"/>
  <c r="C37" i="13" s="1"/>
  <c r="C4" i="7"/>
  <c r="C9" i="7" s="1"/>
  <c r="W1" i="13"/>
  <c r="D9" i="7"/>
  <c r="M21" i="13" l="1"/>
  <c r="C61" i="7"/>
  <c r="W34" i="13"/>
  <c r="A34" i="13"/>
  <c r="E14" i="13"/>
  <c r="M20" i="13"/>
  <c r="D16" i="12"/>
  <c r="G13" i="12" s="1"/>
  <c r="AC39" i="6"/>
  <c r="C115" i="7" s="1"/>
  <c r="AC38" i="6"/>
  <c r="C73" i="7" s="1"/>
  <c r="B51" i="12"/>
  <c r="H51" i="12" s="1"/>
  <c r="E48" i="7"/>
  <c r="M26" i="13"/>
  <c r="F26" i="13" s="1"/>
  <c r="E51" i="7"/>
  <c r="C71" i="7"/>
  <c r="B53" i="12"/>
  <c r="H53" i="12" s="1"/>
  <c r="E50" i="7"/>
  <c r="B56" i="12"/>
  <c r="H56" i="12" s="1"/>
  <c r="M25" i="13"/>
  <c r="F25" i="13" s="1"/>
  <c r="E53" i="7"/>
  <c r="B54" i="12"/>
  <c r="H54" i="12" s="1"/>
  <c r="B52" i="12"/>
  <c r="H52" i="12" s="1"/>
  <c r="D10" i="12"/>
  <c r="D13" i="12" s="1"/>
  <c r="M24" i="13"/>
  <c r="F24" i="13" s="1"/>
  <c r="M23" i="13"/>
  <c r="F23" i="13" s="1"/>
  <c r="D9" i="12"/>
  <c r="C70" i="7"/>
  <c r="E52" i="7"/>
  <c r="E49" i="7"/>
  <c r="C112" i="7"/>
  <c r="B55" i="12"/>
  <c r="H55" i="12" s="1"/>
  <c r="D14" i="12"/>
  <c r="B4" i="14"/>
  <c r="A45" i="7"/>
  <c r="A94" i="7"/>
  <c r="A1" i="13"/>
  <c r="B4" i="12"/>
  <c r="C114" i="7" l="1"/>
  <c r="C74" i="7"/>
  <c r="G14" i="12"/>
  <c r="B49" i="12" s="1"/>
  <c r="G11" i="12"/>
  <c r="B48" i="12"/>
  <c r="D12" i="12"/>
  <c r="G12" i="12" s="1"/>
  <c r="G10" i="12"/>
  <c r="B45" i="12"/>
  <c r="I51" i="12"/>
  <c r="D46" i="7" s="1"/>
  <c r="G9" i="12"/>
  <c r="D45" i="7"/>
  <c r="D17" i="12" l="1"/>
  <c r="D20" i="12" s="1"/>
  <c r="V33" i="13"/>
  <c r="V64" i="13" s="1"/>
  <c r="B46" i="12" l="1"/>
  <c r="D19" i="12"/>
  <c r="D21" i="12" s="1"/>
  <c r="D23" i="12" s="1"/>
  <c r="D24" i="12" s="1"/>
  <c r="D26" i="12" s="1"/>
  <c r="D27" i="12" s="1"/>
  <c r="C43" i="12" s="1"/>
  <c r="G17" i="12"/>
  <c r="B47" i="12" l="1"/>
</calcChain>
</file>

<file path=xl/comments1.xml><?xml version="1.0" encoding="utf-8"?>
<comments xmlns="http://schemas.openxmlformats.org/spreadsheetml/2006/main">
  <authors>
    <author>Marco.Zichner</author>
  </authors>
  <commentList>
    <comment ref="F10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Bauteilbezeichnung oder -nummer des Kunden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Zeichnungsnummer Kunde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Tätigkeitsgruppe für Prozessplanung
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Arbeitsschritt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Tätigkeitsnummer</t>
        </r>
      </text>
    </comment>
  </commentList>
</comments>
</file>

<file path=xl/comments2.xml><?xml version="1.0" encoding="utf-8"?>
<comments xmlns="http://schemas.openxmlformats.org/spreadsheetml/2006/main">
  <authors>
    <author>Marco.Zichner</author>
  </authors>
  <commentList>
    <comment ref="L44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Kleiner Trick, damit die Zahl unterschiedlich ist zur 300 g/m² Matte</t>
        </r>
      </text>
    </comment>
    <comment ref="D138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Berechnet aus Flächengewicht bzw. direkt übernommen!</t>
        </r>
      </text>
    </comment>
    <comment ref="D139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Berechnet aus Flächengewicht bzw. direkt übernommen!</t>
        </r>
      </text>
    </comment>
    <comment ref="D142" authorId="0">
      <text>
        <r>
          <rPr>
            <b/>
            <sz val="9"/>
            <color indexed="81"/>
            <rFont val="Tahoma"/>
            <family val="2"/>
          </rPr>
          <t>Marco.Zichner:</t>
        </r>
        <r>
          <rPr>
            <sz val="9"/>
            <color indexed="81"/>
            <rFont val="Tahoma"/>
            <family val="2"/>
          </rPr>
          <t xml:space="preserve">
Berechnet aus Flächengewicht bzw. direkt übernommen!</t>
        </r>
      </text>
    </comment>
  </commentList>
</comments>
</file>

<file path=xl/connections.xml><?xml version="1.0" encoding="utf-8"?>
<connections xmlns="http://schemas.openxmlformats.org/spreadsheetml/2006/main">
  <connection id="1" sourceFile="C:\Users\Marco.Zichner\Desktop\000_Auftragsmangement_130730.xlsm" keepAlive="1" name="000_Auftragsmangement_130730" type="5" refreshedVersion="0" new="1" background="1" saveData="1">
    <dbPr connection="Provider=Microsoft.ACE.OLEDB.12.0;Password=&quot;&quot;;User ID=Admin;Data Source=C:\Users\Marco.Zichner\Desktop\000_Auftragsmangement_130730.xlsm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Vorgaenge$" commandType="3"/>
  </connection>
</connections>
</file>

<file path=xl/sharedStrings.xml><?xml version="1.0" encoding="utf-8"?>
<sst xmlns="http://schemas.openxmlformats.org/spreadsheetml/2006/main" count="846" uniqueCount="576">
  <si>
    <t>Personalkosten</t>
  </si>
  <si>
    <t>Formen reinigen</t>
  </si>
  <si>
    <t>Entformen</t>
  </si>
  <si>
    <t>Einfach</t>
  </si>
  <si>
    <t>Schwierig</t>
  </si>
  <si>
    <t>Normal</t>
  </si>
  <si>
    <t>Topcoat spritzen</t>
  </si>
  <si>
    <t>Topcoat streichen</t>
  </si>
  <si>
    <t>PU-Schaum</t>
  </si>
  <si>
    <t>Formenwachs</t>
  </si>
  <si>
    <t>€/m³</t>
  </si>
  <si>
    <t>Extrem</t>
  </si>
  <si>
    <t>Arbeitszeiten (Minuten/m²)</t>
  </si>
  <si>
    <t>Schichtdaten</t>
  </si>
  <si>
    <t>Materialkosten (Euro/m²)</t>
  </si>
  <si>
    <t>Gewicht (g/m²)</t>
  </si>
  <si>
    <t>Kosten (€/m²)</t>
  </si>
  <si>
    <t>Formen eintrennen u. polieren</t>
  </si>
  <si>
    <t>Tempern</t>
  </si>
  <si>
    <t>RTM Aufbau vorbereiten</t>
  </si>
  <si>
    <t>VARI Aufbau vorbereiten</t>
  </si>
  <si>
    <t>Fix</t>
  </si>
  <si>
    <t>Variabel</t>
  </si>
  <si>
    <t>Material Zuschnitt</t>
  </si>
  <si>
    <t>Vakuumfolie</t>
  </si>
  <si>
    <t>Saugvlies</t>
  </si>
  <si>
    <t>Membran</t>
  </si>
  <si>
    <t>Maschinenkosten  (Euro/Stück)</t>
  </si>
  <si>
    <t>Gewicht (kg)</t>
  </si>
  <si>
    <t>Formteilkomplexität</t>
  </si>
  <si>
    <t>Harzsystem</t>
  </si>
  <si>
    <t>Produktionskosten /m²</t>
  </si>
  <si>
    <t>Arbeitszeit in Minuten /m²</t>
  </si>
  <si>
    <t>Arbeitszeit in Minuten /kg</t>
  </si>
  <si>
    <t>Oberfläche Formteil (m²)</t>
  </si>
  <si>
    <t>Qualitätsprüfung</t>
  </si>
  <si>
    <t>Menge</t>
  </si>
  <si>
    <t>Modellkosten</t>
  </si>
  <si>
    <t>Verwaltungskostensatz</t>
  </si>
  <si>
    <t>Vertriebskostensatz</t>
  </si>
  <si>
    <t>Entwicklungskosten (86€/h) /Stück</t>
  </si>
  <si>
    <t>Fix-zeiten</t>
  </si>
  <si>
    <t>Maschine</t>
  </si>
  <si>
    <t>Verb.Mat</t>
  </si>
  <si>
    <t>Montage</t>
  </si>
  <si>
    <t>Versand Vorbereitung</t>
  </si>
  <si>
    <t xml:space="preserve">Beschneiden </t>
  </si>
  <si>
    <t>Abreissgewebe</t>
  </si>
  <si>
    <t>Formenbauharz</t>
  </si>
  <si>
    <t>VAP Folie</t>
  </si>
  <si>
    <t>Formbau 450 g/m²</t>
  </si>
  <si>
    <t>Bemerkungen</t>
  </si>
  <si>
    <t>Arbeitsschritt</t>
  </si>
  <si>
    <t>Warencode</t>
  </si>
  <si>
    <t>FA</t>
  </si>
  <si>
    <t>Nummer</t>
  </si>
  <si>
    <t>Silikonhaube herstellen</t>
  </si>
  <si>
    <t>Preforming</t>
  </si>
  <si>
    <t>EF-000 Entformen</t>
  </si>
  <si>
    <t>BS-000 Beschnitt</t>
  </si>
  <si>
    <t xml:space="preserve">MO-000 Montage </t>
  </si>
  <si>
    <t>QK-000 Endkontrolle</t>
  </si>
  <si>
    <t>Silikon (streichfähig)</t>
  </si>
  <si>
    <t>Protokollnummer</t>
  </si>
  <si>
    <t>Bauteilbezeichnung</t>
  </si>
  <si>
    <t>Protokollfreigabe</t>
  </si>
  <si>
    <t>Dateiablage</t>
  </si>
  <si>
    <t>Bearbeiter</t>
  </si>
  <si>
    <t>Fertigungsstatus</t>
  </si>
  <si>
    <t>Name</t>
  </si>
  <si>
    <t>Datum</t>
  </si>
  <si>
    <t>Unterschrift</t>
  </si>
  <si>
    <t>Freigabe durch</t>
  </si>
  <si>
    <t>Änderungen</t>
  </si>
  <si>
    <t>Ansprechpartner</t>
  </si>
  <si>
    <t>Auftraggeber (Firma)</t>
  </si>
  <si>
    <t>Versand</t>
  </si>
  <si>
    <t>Mitgeltenden Dokumente</t>
  </si>
  <si>
    <t>Anfrage</t>
  </si>
  <si>
    <t>Angebot</t>
  </si>
  <si>
    <t>Auftrag</t>
  </si>
  <si>
    <t>Liefertermin</t>
  </si>
  <si>
    <t>Auftragsdaten</t>
  </si>
  <si>
    <t>Revisionsstand</t>
  </si>
  <si>
    <t>Zichner</t>
  </si>
  <si>
    <t>Bauteil i. O.?</t>
  </si>
  <si>
    <t>Tel. | Fax. | EMail</t>
  </si>
  <si>
    <t>Arbeitszeit</t>
  </si>
  <si>
    <t>Umfang (m)</t>
  </si>
  <si>
    <t>Frachtkosten</t>
  </si>
  <si>
    <t>Werkzeugkosten</t>
  </si>
  <si>
    <t>Rabattierung</t>
  </si>
  <si>
    <t>Wandstärke (mm)</t>
  </si>
  <si>
    <t>Materialkosten</t>
  </si>
  <si>
    <t>Absolut</t>
  </si>
  <si>
    <t>Statistische Kenngrößen</t>
  </si>
  <si>
    <t>Relativ</t>
  </si>
  <si>
    <t>Fracht</t>
  </si>
  <si>
    <t>Angebot vom</t>
  </si>
  <si>
    <t>Kalkulationsblatt</t>
  </si>
  <si>
    <t>Auftrag vom</t>
  </si>
  <si>
    <t>Coating</t>
  </si>
  <si>
    <t>Coatings</t>
  </si>
  <si>
    <t>Topcoating</t>
  </si>
  <si>
    <t>Farbe</t>
  </si>
  <si>
    <t>Details</t>
  </si>
  <si>
    <t>Bauteil-gewicht</t>
  </si>
  <si>
    <t>Typ</t>
  </si>
  <si>
    <t>Coating Farbe</t>
  </si>
  <si>
    <t>Topcoating Farbe</t>
  </si>
  <si>
    <t>Coating Gewicht</t>
  </si>
  <si>
    <t>Topcoating Gewicht</t>
  </si>
  <si>
    <t>Material</t>
  </si>
  <si>
    <t>ML-000 Matte-Laminieren</t>
  </si>
  <si>
    <t>GL-000 Gewebe Laminieren</t>
  </si>
  <si>
    <t>FO-000 Formbau</t>
  </si>
  <si>
    <t>ZU-000 Zuschnitt</t>
  </si>
  <si>
    <t>FV-000 Formvorbereitung</t>
  </si>
  <si>
    <t>CO-000 Coating</t>
  </si>
  <si>
    <t>TE-000 Tempern</t>
  </si>
  <si>
    <t>VE-000 Versand</t>
  </si>
  <si>
    <t>CT-000 Topcoating</t>
  </si>
  <si>
    <t>ME-000 Membranherstellung</t>
  </si>
  <si>
    <t>VA-000 VARI</t>
  </si>
  <si>
    <t>RT-000 RTM</t>
  </si>
  <si>
    <t>PR-000 Preforming</t>
  </si>
  <si>
    <t>SA-000 Sandwichherstellung</t>
  </si>
  <si>
    <t>OK</t>
  </si>
  <si>
    <t>Achtung</t>
  </si>
  <si>
    <t>Stop</t>
  </si>
  <si>
    <t>Dauer</t>
  </si>
  <si>
    <t>ja</t>
  </si>
  <si>
    <t>HL</t>
  </si>
  <si>
    <t>14 Tage Netto</t>
  </si>
  <si>
    <t>Neukunde</t>
  </si>
  <si>
    <t>nein</t>
  </si>
  <si>
    <t>VARI</t>
  </si>
  <si>
    <t>Einzelkreditrahmen</t>
  </si>
  <si>
    <t>RTM</t>
  </si>
  <si>
    <t>14 Tage 2% Skonto</t>
  </si>
  <si>
    <t xml:space="preserve">Auftragswert </t>
  </si>
  <si>
    <t>Pressen</t>
  </si>
  <si>
    <t>30 Tage 2% Skonto</t>
  </si>
  <si>
    <t>NDA "einseitig"</t>
  </si>
  <si>
    <t>Fertigungsverfahren</t>
  </si>
  <si>
    <t>Sehr gering</t>
  </si>
  <si>
    <t>Beidseitig glatt</t>
  </si>
  <si>
    <t>Gering</t>
  </si>
  <si>
    <t>Hinterschneidungsfrei</t>
  </si>
  <si>
    <t>Radien groß genug (&gt;10 mm)</t>
  </si>
  <si>
    <t>Hoch</t>
  </si>
  <si>
    <t>Materialaufbau vorgegeben</t>
  </si>
  <si>
    <t>Sehr Hoch</t>
  </si>
  <si>
    <t>Spezielle Materialien erforderlich</t>
  </si>
  <si>
    <t>Rücksprache o. Ablehen</t>
  </si>
  <si>
    <t>Vollständige Zeichungen vorhanden</t>
  </si>
  <si>
    <t>Berechneter Risikofaktor</t>
  </si>
  <si>
    <t>Maßketten geprüft</t>
  </si>
  <si>
    <t>Toleranzen einhaltbar</t>
  </si>
  <si>
    <t>Entformbar</t>
  </si>
  <si>
    <t>Farbgebung realisierbar</t>
  </si>
  <si>
    <t>Spezielle Nachbehandlung notwendig</t>
  </si>
  <si>
    <t>Externer Modellbau erforderlich</t>
  </si>
  <si>
    <t>Teilungsebenen in der Form</t>
  </si>
  <si>
    <t>Werkzeugbau erforderlich</t>
  </si>
  <si>
    <t>Geschätzte Produktionszeit pro Teil (d)</t>
  </si>
  <si>
    <t>Spezielle QS-Maßnahmen erforderlich</t>
  </si>
  <si>
    <t>Zulieferteile erforderlich</t>
  </si>
  <si>
    <t>Lieferung innerhalb Deutschland</t>
  </si>
  <si>
    <t>Verpackung und Versand geklärt</t>
  </si>
  <si>
    <t>Gesamtrisiko</t>
  </si>
  <si>
    <t>Vorgeschlagene Zahlungskonditionen</t>
  </si>
  <si>
    <t>Link</t>
  </si>
  <si>
    <t>Kunde</t>
  </si>
  <si>
    <t>Gegenstand</t>
  </si>
  <si>
    <t>Anfrage Modell</t>
  </si>
  <si>
    <t>Angebot Modell</t>
  </si>
  <si>
    <t>Kontakt</t>
  </si>
  <si>
    <t>AB-Nr</t>
  </si>
  <si>
    <t>Lieferung gem. AB</t>
  </si>
  <si>
    <t>Fertigst. Produk.</t>
  </si>
  <si>
    <t>nächste Aktion</t>
  </si>
  <si>
    <t>Ansprech-partner</t>
  </si>
  <si>
    <t>Telefon</t>
  </si>
  <si>
    <t>Lieferzeit (Arbeitstage)</t>
  </si>
  <si>
    <t>Zeilennummer</t>
  </si>
  <si>
    <t>Glasmatte 450 g/m²</t>
  </si>
  <si>
    <t>Risiko</t>
  </si>
  <si>
    <t>21 Tage Netto</t>
  </si>
  <si>
    <t>Tätigkeiten</t>
  </si>
  <si>
    <t>Lohnkosten [EUR/h]</t>
  </si>
  <si>
    <t>VAP Aufbau vorbereiten</t>
  </si>
  <si>
    <t>Matrixwerkstoffe und Coatings</t>
  </si>
  <si>
    <t>Hilfsstoffe</t>
  </si>
  <si>
    <t>Glasmatte 150 g/m²</t>
  </si>
  <si>
    <t>FVG</t>
  </si>
  <si>
    <t>FMG</t>
  </si>
  <si>
    <t>Dichte F</t>
  </si>
  <si>
    <t>Dichte H</t>
  </si>
  <si>
    <t>Materialkosten (€/kg)</t>
  </si>
  <si>
    <t>Matrixsysteme</t>
  </si>
  <si>
    <t>AS</t>
  </si>
  <si>
    <t>TN</t>
  </si>
  <si>
    <t>Dichte [g/cm³]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</si>
  <si>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</si>
  <si>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</si>
  <si>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</si>
  <si>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</si>
  <si>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</si>
  <si>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</si>
  <si>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</si>
  <si>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</si>
  <si>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</si>
  <si>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</si>
  <si>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</si>
  <si>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</si>
  <si>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</si>
  <si>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</si>
  <si>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</si>
  <si>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</si>
  <si>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</si>
  <si>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</si>
  <si>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</si>
  <si>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</si>
  <si>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</si>
  <si>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</si>
  <si>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</si>
  <si>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</si>
  <si>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</si>
  <si>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</si>
  <si>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H01</t>
  </si>
  <si>
    <t>H02</t>
  </si>
  <si>
    <t>H03</t>
  </si>
  <si>
    <t>H04</t>
  </si>
  <si>
    <t>H05</t>
  </si>
  <si>
    <t>H06</t>
  </si>
  <si>
    <t>Harz (g/m²)</t>
  </si>
  <si>
    <t>Gesamt</t>
  </si>
  <si>
    <t>Stärke (mm)</t>
  </si>
  <si>
    <t>Gesamt Gewicht (kg)</t>
  </si>
  <si>
    <t xml:space="preserve">Materialkosten </t>
  </si>
  <si>
    <t>Nebenkosten</t>
  </si>
  <si>
    <t>VebMat</t>
  </si>
  <si>
    <t>Gelcoat spritzen</t>
  </si>
  <si>
    <t>Gelcoat streichen</t>
  </si>
  <si>
    <t>Norm WZB</t>
  </si>
  <si>
    <t>Norm MLM</t>
  </si>
  <si>
    <t>Arbeitszeit (h)</t>
  </si>
  <si>
    <t>Arbeitszeit / Stück (h)</t>
  </si>
  <si>
    <t>Zähler</t>
  </si>
  <si>
    <t>Max</t>
  </si>
  <si>
    <t>Projektnummer</t>
  </si>
  <si>
    <t>ABN</t>
  </si>
  <si>
    <t>Fertigung</t>
  </si>
  <si>
    <t>Q-Prüfung</t>
  </si>
  <si>
    <t>JA</t>
  </si>
  <si>
    <t>NEIN</t>
  </si>
  <si>
    <t>Gewicht</t>
  </si>
  <si>
    <t>Soll [kg]</t>
  </si>
  <si>
    <t>Ist [kg]</t>
  </si>
  <si>
    <t>Farbe Gelcoat</t>
  </si>
  <si>
    <t>Farbe Topcoat</t>
  </si>
  <si>
    <t>LN</t>
  </si>
  <si>
    <t>Bezeichnung</t>
  </si>
  <si>
    <t>Fehler/Fehlstelle (Was?); Beschreibung (Wo?); Erkenntniss (Warum?)</t>
  </si>
  <si>
    <t>Einwage [kg]</t>
  </si>
  <si>
    <t>Verstärkung</t>
  </si>
  <si>
    <t>MatNr</t>
  </si>
  <si>
    <t>Hinweise an die Produktion</t>
  </si>
  <si>
    <t>Beispiele</t>
  </si>
  <si>
    <t>Angebots- und Vertragsprüfung</t>
  </si>
  <si>
    <t>Firma</t>
  </si>
  <si>
    <t>Ansprechp.</t>
  </si>
  <si>
    <t>Tel</t>
  </si>
  <si>
    <t>TG</t>
  </si>
  <si>
    <t>Zeiten | Parameter | Bemerkungen</t>
  </si>
  <si>
    <t>2. Preforming</t>
  </si>
  <si>
    <t>3. Fertigung</t>
  </si>
  <si>
    <t>5. Montage</t>
  </si>
  <si>
    <t>6. Q-Prüfung</t>
  </si>
  <si>
    <t>1. Fertigungsplanung</t>
  </si>
  <si>
    <t>4. Beschnitt</t>
  </si>
  <si>
    <t>8. Versand</t>
  </si>
  <si>
    <t>7. Vers.vorbereitung</t>
  </si>
  <si>
    <t>Beschnitt</t>
  </si>
  <si>
    <t>Vers.vorbereitung</t>
  </si>
  <si>
    <t>Min</t>
  </si>
  <si>
    <t>BTN Kunde</t>
  </si>
  <si>
    <t>BTN LSK</t>
  </si>
  <si>
    <t>Dateiverweis Auftragsmanagement</t>
  </si>
  <si>
    <t>X:\Auftragsmanagement\</t>
  </si>
  <si>
    <t>Pfad</t>
  </si>
  <si>
    <t xml:space="preserve">Datei </t>
  </si>
  <si>
    <t>000_Auftragsmanagement.xlsm</t>
  </si>
  <si>
    <t>Erstellt</t>
  </si>
  <si>
    <t>Geprüft</t>
  </si>
  <si>
    <t>Freigegeben</t>
  </si>
  <si>
    <t>Füssel</t>
  </si>
  <si>
    <t>Techritz</t>
  </si>
  <si>
    <t>Version</t>
  </si>
  <si>
    <t>Controlling Vorgaben</t>
  </si>
  <si>
    <t>Produktionskosten / Stück</t>
  </si>
  <si>
    <t>Te</t>
  </si>
  <si>
    <t>FA 2</t>
  </si>
  <si>
    <t xml:space="preserve"> Anzahl Bauteile</t>
  </si>
  <si>
    <t>Ausschuss</t>
  </si>
  <si>
    <t>Verschnitt / Überschuss</t>
  </si>
  <si>
    <t>QS-Kriterien</t>
  </si>
  <si>
    <t>Chargennummer</t>
  </si>
  <si>
    <t>Teilprojekt</t>
  </si>
  <si>
    <t>Nicht für nicht Luftfahrtprojekte</t>
  </si>
  <si>
    <t xml:space="preserve"> </t>
  </si>
  <si>
    <t>RAL 7035</t>
  </si>
  <si>
    <t>Montage Composite Teile</t>
  </si>
  <si>
    <t>Montage Zukaufteile</t>
  </si>
  <si>
    <t>Montage Kundenteile</t>
  </si>
  <si>
    <t>Fasergewicht (g)</t>
  </si>
  <si>
    <t>Harzgewicht (g)</t>
  </si>
  <si>
    <t>Beschneiden</t>
  </si>
  <si>
    <t xml:space="preserve">Arbeitszeit / Bauteil </t>
  </si>
  <si>
    <t>Maschinen-kosten</t>
  </si>
  <si>
    <t>Verbrauchs-material</t>
  </si>
  <si>
    <t>Harzkosten</t>
  </si>
  <si>
    <t>Maschinenk. + Verbrauchsm.</t>
  </si>
  <si>
    <t>ZN Kunde</t>
  </si>
  <si>
    <t>LSK Name</t>
  </si>
  <si>
    <t>Produktionsnebenkosten</t>
  </si>
  <si>
    <t>Verpackung</t>
  </si>
  <si>
    <t>Material-   kosten</t>
  </si>
  <si>
    <t>Logistikkosten</t>
  </si>
  <si>
    <t>Auftragskosten /kg</t>
  </si>
  <si>
    <t>Menge [g]</t>
  </si>
  <si>
    <t>Menge / TP</t>
  </si>
  <si>
    <t>Selbstkosten  / Stück</t>
  </si>
  <si>
    <t>Stückpreis Liste</t>
  </si>
  <si>
    <t>Stückpreis Angebot</t>
  </si>
  <si>
    <t>EnK Angebot</t>
  </si>
  <si>
    <t>PnK Angebot</t>
  </si>
  <si>
    <t>LoK Angebot</t>
  </si>
  <si>
    <t>Gesamtpreis Angebot</t>
  </si>
  <si>
    <t>H07</t>
  </si>
  <si>
    <t>H08</t>
  </si>
  <si>
    <t>H09</t>
  </si>
  <si>
    <t>Protokoll-
nummer</t>
  </si>
  <si>
    <t>Tätigkeiten laut Stammdatenblatt</t>
  </si>
  <si>
    <t>Artikelnummer</t>
  </si>
  <si>
    <t>Kreditor</t>
  </si>
  <si>
    <t>Kreditorartikelbezeichnung</t>
  </si>
  <si>
    <t>EK</t>
  </si>
  <si>
    <t>Datenblätter</t>
  </si>
  <si>
    <t>Viscovoss Onyx oP</t>
  </si>
  <si>
    <t>144 919</t>
  </si>
  <si>
    <t>Vosschemie</t>
  </si>
  <si>
    <t>kg</t>
  </si>
  <si>
    <t>6 Monate</t>
  </si>
  <si>
    <t>..\..\..\..\Verwaltung &amp; QM\400 Ressourcenmanagement\Datenblätter\Voss\TMB_viscovoss_onyx_02.pdf</t>
  </si>
  <si>
    <t>Brandschutzharz</t>
  </si>
  <si>
    <t>716-8175</t>
  </si>
  <si>
    <t>BÜFA</t>
  </si>
  <si>
    <t>Firestop 8175-W-1</t>
  </si>
  <si>
    <t>3 Monate</t>
  </si>
  <si>
    <t>..\..\..\..\Verwaltung &amp; QM\400 Ressourcenmanagement\Datenblätter\Büfa\Brandschutzsystem 270-570\716-8175.pdf</t>
  </si>
  <si>
    <t>06.6OPTIMOLD.25</t>
  </si>
  <si>
    <t>Lange + Ritter</t>
  </si>
  <si>
    <t>Optimold II Monocomposant</t>
  </si>
  <si>
    <t>Epoxidharz</t>
  </si>
  <si>
    <t>20-0022</t>
  </si>
  <si>
    <t>Endoline</t>
  </si>
  <si>
    <t>Epoxidharz 03-G</t>
  </si>
  <si>
    <t>..\..\..\..\Verwaltung &amp; QM\400 Ressourcenmanagement\Datenblätter\Epoxidharz\neu PDB_EPOXIDHARZ-03-G.pdf</t>
  </si>
  <si>
    <t>A430</t>
  </si>
  <si>
    <t>020-0430</t>
  </si>
  <si>
    <t>Büfa</t>
  </si>
  <si>
    <t>Atlac 430</t>
  </si>
  <si>
    <t>..\..\..\..\Verwaltung &amp; QM\400 Ressourcenmanagement\Datenblätter\Büfa\Atlac 430.pdf</t>
  </si>
  <si>
    <t>VE100</t>
  </si>
  <si>
    <t>131 06</t>
  </si>
  <si>
    <t>Mühlmeier</t>
  </si>
  <si>
    <t>Distitron VE 100</t>
  </si>
  <si>
    <t>..\..\..\..\Verwaltung &amp; QM\400 Ressourcenmanagement\Datenblätter\Mühlmeier\DISTITRON VE 100 STD.pdf</t>
  </si>
  <si>
    <t>Vinylesterharz</t>
  </si>
  <si>
    <t>104248-570</t>
  </si>
  <si>
    <t>Nordmann &amp; Rassmann</t>
  </si>
  <si>
    <t>Derakane Momentum 470-300</t>
  </si>
  <si>
    <t>..\..\..\..\Verwaltung &amp; QM\400 Ressourcenmanagement\Datenblätter\Nordmann_Rassmann\Derakane momentum 470-300[1].pdf</t>
  </si>
  <si>
    <t>Dichte</t>
  </si>
  <si>
    <t>Formenbaugelcoat</t>
  </si>
  <si>
    <t>Viscovoss G323 H</t>
  </si>
  <si>
    <t>Brandschutzgelcoat</t>
  </si>
  <si>
    <t xml:space="preserve">iso/npg </t>
  </si>
  <si>
    <t>LARIT Gelcoat</t>
  </si>
  <si>
    <t>107 552</t>
  </si>
  <si>
    <t>728-0001</t>
  </si>
  <si>
    <t>714-2702</t>
  </si>
  <si>
    <t>15.9G1H0009</t>
  </si>
  <si>
    <t>Norpol GM 90000S</t>
  </si>
  <si>
    <t>Firestop S 250-V, natur</t>
  </si>
  <si>
    <t>Firestop GC S 270-S/ NY Grey</t>
  </si>
  <si>
    <t>SVG-C Basis H</t>
  </si>
  <si>
    <t>LARIT Gelcoat ISO farblos, streichfähig</t>
  </si>
  <si>
    <t>24 Monate</t>
  </si>
  <si>
    <t>RAL 7016, anthrazitgrau</t>
  </si>
  <si>
    <t>Liebsch</t>
  </si>
  <si>
    <t>GF 200-00</t>
  </si>
  <si>
    <t>Farbpaste</t>
  </si>
  <si>
    <t>RAL 7035, lichtgrau</t>
  </si>
  <si>
    <t>RAL 9010, reinweiss</t>
  </si>
  <si>
    <t>Verstärkungswerkstoffe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</si>
  <si>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</si>
  <si>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</si>
  <si>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</si>
  <si>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</si>
  <si>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</si>
  <si>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</si>
  <si>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</si>
  <si>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</si>
  <si>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</si>
  <si>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</si>
  <si>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</si>
  <si>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</si>
  <si>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</si>
  <si>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</si>
  <si>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</si>
  <si>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K1800</t>
  </si>
  <si>
    <t>Carbongewebe</t>
  </si>
  <si>
    <t>Glasseidengewebe</t>
  </si>
  <si>
    <t>Glasfasermatte</t>
  </si>
  <si>
    <t>Rovinggewebe</t>
  </si>
  <si>
    <t>Glasseidengewebe 235 g/m²</t>
  </si>
  <si>
    <t>Carbongewebe 600 g/m²</t>
  </si>
  <si>
    <t>Carbongewebe 240 g/m²</t>
  </si>
  <si>
    <t>Glasseidengewebe 390 g/m²</t>
  </si>
  <si>
    <t>Rovinggewebe 580 g/m²</t>
  </si>
  <si>
    <t>Abreissgewebe 83 g/m²</t>
  </si>
  <si>
    <t>qm</t>
  </si>
  <si>
    <t>Breite: 100 cm</t>
  </si>
  <si>
    <t>Breite: 125 cm</t>
  </si>
  <si>
    <t>Breite: 200 mm</t>
  </si>
  <si>
    <t>Asglatex</t>
  </si>
  <si>
    <t>Hacotech</t>
  </si>
  <si>
    <t>02-201</t>
  </si>
  <si>
    <t>5-0002</t>
  </si>
  <si>
    <t>7-0003</t>
  </si>
  <si>
    <t>7-0002</t>
  </si>
  <si>
    <t>101 023 11</t>
  </si>
  <si>
    <t>101 000 50</t>
  </si>
  <si>
    <t>107 154 70</t>
  </si>
  <si>
    <t>PP083-0200</t>
  </si>
  <si>
    <t>Flächengewicht</t>
  </si>
  <si>
    <t>Klebeharz 0139</t>
  </si>
  <si>
    <t>Klebeharz 0177</t>
  </si>
  <si>
    <t>Klebeharz 0588</t>
  </si>
  <si>
    <t>Klebeharz 0591</t>
  </si>
  <si>
    <t>Bonding Paste 0139</t>
  </si>
  <si>
    <t>Bonding Paste 0177</t>
  </si>
  <si>
    <t>Bonding Paste 0588</t>
  </si>
  <si>
    <t>Bonding Paste 0591</t>
  </si>
  <si>
    <t>740-0139</t>
  </si>
  <si>
    <t>740-0177</t>
  </si>
  <si>
    <t>740-0588</t>
  </si>
  <si>
    <t>740-0591</t>
  </si>
  <si>
    <t>Fine Body Filler Spray</t>
  </si>
  <si>
    <t>740-0002</t>
  </si>
  <si>
    <t>Spritzspachtel</t>
  </si>
  <si>
    <t>Peroxan ME-50 LA</t>
  </si>
  <si>
    <t>Pergan</t>
  </si>
  <si>
    <t>101 311</t>
  </si>
  <si>
    <t>Härter LA</t>
  </si>
  <si>
    <t>Peroxan ME-50 L</t>
  </si>
  <si>
    <t>101 307</t>
  </si>
  <si>
    <t>Härter L</t>
  </si>
  <si>
    <t>Pergaquick C11</t>
  </si>
  <si>
    <t>200 404</t>
  </si>
  <si>
    <t>Beschleuniger</t>
  </si>
  <si>
    <t>Epoxihärter E 300 Ri</t>
  </si>
  <si>
    <t>20-0023</t>
  </si>
  <si>
    <t>Epoxihärter</t>
  </si>
  <si>
    <t>Accelerator Complex</t>
  </si>
  <si>
    <t>742-0399</t>
  </si>
  <si>
    <t>12 Monate</t>
  </si>
  <si>
    <t>Mould Cleaner</t>
  </si>
  <si>
    <t>Jost Chemicals</t>
  </si>
  <si>
    <t>Formenreiniger</t>
  </si>
  <si>
    <t>Release Wax Paste</t>
  </si>
  <si>
    <t>741-0054</t>
  </si>
  <si>
    <t>Trennpaste</t>
  </si>
  <si>
    <t>Spacewax Sealer</t>
  </si>
  <si>
    <t>Trennwachs</t>
  </si>
  <si>
    <t>Release Lacquer Green</t>
  </si>
  <si>
    <t>741-0652</t>
  </si>
  <si>
    <t>Trennlack Grün</t>
  </si>
  <si>
    <t>Fliesshilfe</t>
  </si>
  <si>
    <t>IMF 180-2000</t>
  </si>
  <si>
    <t>HACOTECH</t>
  </si>
  <si>
    <t>Fliesshilfe 180 g/qm, schwarz, flexibel</t>
  </si>
  <si>
    <t>xxx</t>
  </si>
  <si>
    <t>Breite: 2000 mm, 50 lfm/ Rolle</t>
  </si>
  <si>
    <t>PA-Schlauch</t>
  </si>
  <si>
    <t>855.2071</t>
  </si>
  <si>
    <t>Sächs. Schlauch- und Dichtungstechnik</t>
  </si>
  <si>
    <t>PA-Rohr 8x6x1 natur</t>
  </si>
  <si>
    <t>m</t>
  </si>
  <si>
    <t>EP/ 100m</t>
  </si>
  <si>
    <t>Silikonschlauch</t>
  </si>
  <si>
    <t>981.6-LZ</t>
  </si>
  <si>
    <t>Silikonrundschnur 6mm, transparent</t>
  </si>
  <si>
    <t>T-Schlauchverbinder</t>
  </si>
  <si>
    <t>T 6 PVDF</t>
  </si>
  <si>
    <t>Landefeld</t>
  </si>
  <si>
    <t>T-Schlauchverbinder 6mm, PVDF</t>
  </si>
  <si>
    <t>Stk</t>
  </si>
  <si>
    <t>abzüglich 40% Rabatt</t>
  </si>
  <si>
    <t xml:space="preserve">T-Stück </t>
  </si>
  <si>
    <t>TAIA 14 MSV</t>
  </si>
  <si>
    <t>T-Stück 2x R 1/4" (AG)-G 1/4" (IG), MS vernickelt</t>
  </si>
  <si>
    <t>T-Stück mit Innengewinde</t>
  </si>
  <si>
    <t>T 14 MS</t>
  </si>
  <si>
    <t>T-Stück G 1/4" (IG), 16 bar Messing</t>
  </si>
  <si>
    <t>Vakuumdichtband</t>
  </si>
  <si>
    <t>ST152 TACKY</t>
  </si>
  <si>
    <t>Vakuumdichtband 150 °C, schwarz</t>
  </si>
  <si>
    <t>Breite: 12 mm, 15 lfm/ Rolle</t>
  </si>
  <si>
    <t>Verfahrensanweisung</t>
  </si>
  <si>
    <r>
      <t>Mitgeltende Dokumente</t>
    </r>
    <r>
      <rPr>
        <sz val="11"/>
        <rFont val="Arial"/>
        <family val="2"/>
      </rPr>
      <t xml:space="preserve"> (Hyperlinks zu Dateien einfügen!)</t>
    </r>
  </si>
  <si>
    <r>
      <t>Hinweise an die Produktion</t>
    </r>
    <r>
      <rPr>
        <sz val="11"/>
        <rFont val="Arial"/>
        <family val="2"/>
      </rPr>
      <t xml:space="preserve"> (Vorbereitende Maßnahmen, Besonderheiten etc.)</t>
    </r>
  </si>
  <si>
    <t>Merkmal</t>
  </si>
  <si>
    <t>Soll</t>
  </si>
  <si>
    <t>Nr.</t>
  </si>
  <si>
    <t>Möglicher Fehler</t>
  </si>
  <si>
    <t>1.2</t>
  </si>
  <si>
    <t>Toleranz</t>
  </si>
  <si>
    <t>IST</t>
  </si>
  <si>
    <t>i.O.</t>
  </si>
  <si>
    <t>n.i.O.</t>
  </si>
  <si>
    <t>QS-Prüfung</t>
  </si>
  <si>
    <t>Nr</t>
  </si>
  <si>
    <t>Prüfstempel
Datum / Prüfer</t>
  </si>
  <si>
    <t>Prüfung</t>
  </si>
  <si>
    <t>1.1</t>
  </si>
  <si>
    <t>1.3</t>
  </si>
  <si>
    <t>2.1</t>
  </si>
  <si>
    <t>2.2</t>
  </si>
  <si>
    <t>2.3</t>
  </si>
  <si>
    <t>3.1</t>
  </si>
  <si>
    <t>3.2</t>
  </si>
  <si>
    <t>3.3</t>
  </si>
  <si>
    <t>4.1</t>
  </si>
  <si>
    <t>4.2</t>
  </si>
  <si>
    <t>4.3</t>
  </si>
  <si>
    <t>5.1</t>
  </si>
  <si>
    <t>5.2</t>
  </si>
  <si>
    <t>5.3</t>
  </si>
  <si>
    <t>6.1</t>
  </si>
  <si>
    <t>6.2</t>
  </si>
  <si>
    <t>6.3</t>
  </si>
  <si>
    <t>7.1</t>
  </si>
  <si>
    <t>7.2</t>
  </si>
  <si>
    <t>7.3</t>
  </si>
  <si>
    <t>Prüfstempel Datum / Prüfer</t>
  </si>
  <si>
    <t>Inhalt / Wesentliche Änderungen</t>
  </si>
  <si>
    <t>Aufbau der Grundstruktur mit den Tabellenblättern Ablauf/Kalkulation/Risiko/FA/FP und Stammdaten</t>
  </si>
  <si>
    <t xml:space="preserve">Implentierung Automatischer Speicherfunktionen </t>
  </si>
  <si>
    <t>Aktualisierung Stammdaten</t>
  </si>
  <si>
    <t>Implementierung der Unterlagen zur Qualitätsprüfung in Ablauf/FA und FP (+QSP); Neues Tabellenblatter Verweis und Historie</t>
  </si>
  <si>
    <t>0.0.1</t>
  </si>
  <si>
    <t>0.1</t>
  </si>
  <si>
    <t>0.0.2</t>
  </si>
  <si>
    <t>0.0.3</t>
  </si>
  <si>
    <t>0.0.4</t>
  </si>
  <si>
    <t>Korrektur Stammdaten</t>
  </si>
  <si>
    <t>Debitornummer</t>
  </si>
  <si>
    <t>X:\auftragsmanagement\Sachsenwerk\150116_Div. Luftleitschilde</t>
  </si>
  <si>
    <t>Sachsenwerk</t>
  </si>
  <si>
    <t>Div. Luftleitschilde</t>
  </si>
  <si>
    <t>215007</t>
  </si>
  <si>
    <t>Fr.Leipner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</si>
</sst>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0.0%"/>
    <numFmt numFmtId="165" formatCode="0.0"/>
    <numFmt numFmtId="166" formatCode="#,##0.0"/>
    <numFmt numFmtId="167" formatCode="#,##0.00_ ;\-#,##0.00\ "/>
    <numFmt numFmtId="168" formatCode="#,##0\ &quot;€&quot;"/>
    <numFmt numFmtId="169" formatCode="dd/mm/yy;@"/>
    <numFmt numFmtId="170" formatCode="dd\.mm\.yy;@"/>
    <numFmt numFmtId="171" formatCode="[$-F400]h:mm:ss\ AM/PM"/>
    <numFmt numFmtId="172" formatCode="000"/>
    <numFmt numFmtId="173" formatCode="#,##0_ ;\-#,##0\ "/>
    <numFmt numFmtId="174" formatCode="##\ &quot;min&quot;"/>
    <numFmt numFmtId="175" formatCode="0\ &quot;min&quot;"/>
    <numFmt numFmtId="176" formatCode="0.0\ &quot;kg/h&quot;"/>
    <numFmt numFmtId="177" formatCode="0\ &quot;€/kg&quot;"/>
    <numFmt numFmtId="178" formatCode="0.0\ &quot;€/kg&quot;"/>
    <numFmt numFmtId="179" formatCode="0.0\ &quot;kg&quot;"/>
    <numFmt numFmtId="180" formatCode="[$-407]General"/>
    <numFmt numFmtId="181" formatCode="dd&quot;.&quot;mm&quot;.&quot;yy;@"/>
  </numFmts>
  <fonts count="97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 Narrow"/>
      <family val="2"/>
    </font>
    <font>
      <i/>
      <sz val="11"/>
      <name val="Arial"/>
      <family val="2"/>
    </font>
    <font>
      <sz val="11"/>
      <color indexed="9"/>
      <name val="Arial"/>
      <family val="2"/>
    </font>
    <font>
      <sz val="10"/>
      <name val="Cheltenham"/>
    </font>
    <font>
      <b/>
      <sz val="11"/>
      <color indexed="9"/>
      <name val="Arial"/>
      <family val="2"/>
    </font>
    <font>
      <sz val="9"/>
      <name val="Arial"/>
      <family val="2"/>
    </font>
    <font>
      <sz val="9"/>
      <name val="Arial Narrow"/>
      <family val="2"/>
    </font>
    <font>
      <sz val="12"/>
      <name val="Arial Narrow"/>
      <family val="2"/>
    </font>
    <font>
      <sz val="10"/>
      <color indexed="55"/>
      <name val="Arial"/>
      <family val="2"/>
    </font>
    <font>
      <sz val="11"/>
      <color indexed="55"/>
      <name val="Arial"/>
      <family val="2"/>
    </font>
    <font>
      <sz val="14"/>
      <name val="Arial"/>
      <family val="2"/>
    </font>
    <font>
      <sz val="9"/>
      <color indexed="23"/>
      <name val="Arial"/>
      <family val="2"/>
    </font>
    <font>
      <sz val="8"/>
      <name val="Arial Narrow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48"/>
      <name val="Code 128"/>
      <charset val="2"/>
    </font>
    <font>
      <sz val="60"/>
      <name val="Code 128"/>
      <charset val="2"/>
    </font>
    <font>
      <sz val="14"/>
      <name val="Arial Narrow"/>
      <family val="2"/>
    </font>
    <font>
      <i/>
      <sz val="14"/>
      <name val="Arial"/>
      <family val="2"/>
    </font>
    <font>
      <i/>
      <sz val="14"/>
      <name val="Arial Narrow"/>
      <family val="2"/>
    </font>
    <font>
      <i/>
      <sz val="8"/>
      <name val="Arial"/>
      <family val="2"/>
    </font>
    <font>
      <b/>
      <sz val="24"/>
      <name val="Arial Narrow"/>
      <family val="2"/>
    </font>
    <font>
      <b/>
      <sz val="36"/>
      <name val="Arial"/>
      <family val="2"/>
    </font>
    <font>
      <b/>
      <sz val="8"/>
      <color indexed="9"/>
      <name val="Arial"/>
      <family val="2"/>
    </font>
    <font>
      <i/>
      <sz val="11"/>
      <name val="Arial Narrow"/>
      <family val="2"/>
    </font>
    <font>
      <b/>
      <sz val="8"/>
      <name val="Arial"/>
      <family val="2"/>
    </font>
    <font>
      <i/>
      <sz val="10"/>
      <name val="Arial"/>
      <family val="2"/>
    </font>
    <font>
      <sz val="26"/>
      <name val="Arial"/>
      <family val="2"/>
    </font>
    <font>
      <b/>
      <sz val="11"/>
      <name val="Arial Narrow"/>
      <family val="2"/>
    </font>
    <font>
      <sz val="10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0"/>
      <color indexed="55"/>
      <name val="Arial Narrow"/>
      <family val="2"/>
    </font>
    <font>
      <sz val="10"/>
      <color indexed="55"/>
      <name val="Arial Narrow"/>
      <family val="2"/>
    </font>
    <font>
      <i/>
      <sz val="8"/>
      <name val="Arial Narrow"/>
      <family val="2"/>
    </font>
    <font>
      <i/>
      <sz val="1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55"/>
      <name val="Code 128"/>
      <charset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rgb="FF000000"/>
      <name val="Arial Narrow"/>
      <family val="2"/>
    </font>
    <font>
      <sz val="9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4"/>
      <color theme="0" tint="-0.249977111117893"/>
      <name val="Arial"/>
      <family val="2"/>
    </font>
    <font>
      <b/>
      <sz val="11"/>
      <color rgb="FF0070C0"/>
      <name val="Arial"/>
      <family val="2"/>
    </font>
    <font>
      <sz val="11"/>
      <color theme="0" tint="-0.499984740745262"/>
      <name val="Arial"/>
      <family val="2"/>
    </font>
    <font>
      <sz val="11"/>
      <color theme="0" tint="-0.499984740745262"/>
      <name val="Arial Narrow"/>
      <family val="2"/>
    </font>
    <font>
      <sz val="10"/>
      <color theme="0" tint="-0.499984740745262"/>
      <name val="Arial Narrow"/>
      <family val="2"/>
    </font>
    <font>
      <sz val="9"/>
      <color rgb="FFC00000"/>
      <name val="Arial"/>
      <family val="2"/>
    </font>
    <font>
      <sz val="12"/>
      <color rgb="FFC00000"/>
      <name val="Arial"/>
      <family val="2"/>
    </font>
    <font>
      <sz val="11"/>
      <color rgb="FFC00000"/>
      <name val="Arial"/>
      <family val="2"/>
    </font>
    <font>
      <sz val="10"/>
      <color rgb="FFC00000"/>
      <name val="Arial"/>
      <family val="2"/>
    </font>
    <font>
      <b/>
      <sz val="11"/>
      <color theme="0"/>
      <name val="Arial"/>
      <family val="2"/>
    </font>
    <font>
      <sz val="10"/>
      <color theme="0"/>
      <name val="Arial Narrow"/>
      <family val="2"/>
    </font>
    <font>
      <b/>
      <sz val="14"/>
      <color theme="0"/>
      <name val="Arial"/>
      <family val="2"/>
    </font>
    <font>
      <sz val="14"/>
      <color theme="0"/>
      <name val="Arial Narrow"/>
      <family val="2"/>
    </font>
    <font>
      <b/>
      <sz val="14"/>
      <color theme="1"/>
      <name val="Arial Narrow"/>
      <family val="2"/>
    </font>
    <font>
      <b/>
      <sz val="16"/>
      <color theme="1"/>
      <name val="Calibri"/>
      <family val="2"/>
      <scheme val="minor"/>
    </font>
    <font>
      <sz val="14"/>
      <color rgb="FFFFC000"/>
      <name val="Arial Narrow"/>
      <family val="2"/>
    </font>
    <font>
      <b/>
      <sz val="14"/>
      <color rgb="FFFF0000"/>
      <name val="Arial"/>
      <family val="2"/>
    </font>
    <font>
      <sz val="8"/>
      <color theme="0"/>
      <name val="Arial"/>
      <family val="2"/>
    </font>
    <font>
      <sz val="8"/>
      <color theme="1" tint="0.499984740745262"/>
      <name val="Arial"/>
      <family val="2"/>
    </font>
    <font>
      <sz val="8"/>
      <color theme="0" tint="-0.499984740745262"/>
      <name val="Arial"/>
      <family val="2"/>
    </font>
    <font>
      <sz val="8"/>
      <color theme="0" tint="-0.249977111117893"/>
      <name val="Arial"/>
      <family val="2"/>
    </font>
    <font>
      <b/>
      <sz val="18"/>
      <color theme="0" tint="-0.499984740745262"/>
      <name val="Arial"/>
      <family val="2"/>
    </font>
    <font>
      <b/>
      <sz val="11"/>
      <color theme="0" tint="-0.499984740745262"/>
      <name val="Arial Narrow"/>
      <family val="2"/>
    </font>
    <font>
      <sz val="8"/>
      <color theme="1"/>
      <name val="Arial Narrow"/>
      <family val="2"/>
    </font>
    <font>
      <sz val="14"/>
      <color theme="0" tint="-0.499984740745262"/>
      <name val="Arial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u/>
      <sz val="5"/>
      <color theme="1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sz val="20"/>
      <name val="Arial Narrow"/>
      <family val="2"/>
    </font>
    <font>
      <b/>
      <sz val="14"/>
      <name val="Arial Narrow"/>
      <family val="2"/>
    </font>
  </fonts>
  <fills count="2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53"/>
      </patternFill>
    </fill>
    <fill>
      <patternFill patternType="solid">
        <fgColor theme="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 diagonalDown="1">
      <left/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 style="thin">
        <color auto="1"/>
      </top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auto="1"/>
      </top>
      <bottom/>
      <diagonal/>
    </border>
    <border>
      <left/>
      <right style="dashed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ouble">
        <color auto="1"/>
      </left>
      <right style="dashed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ashed">
        <color indexed="64"/>
      </right>
      <top style="thin">
        <color indexed="64"/>
      </top>
      <bottom/>
      <diagonal/>
    </border>
    <border>
      <left style="double">
        <color auto="1"/>
      </left>
      <right style="dashed">
        <color indexed="64"/>
      </right>
      <top/>
      <bottom/>
      <diagonal/>
    </border>
    <border>
      <left style="double">
        <color auto="1"/>
      </left>
      <right/>
      <top/>
      <bottom/>
      <diagonal/>
    </border>
  </borders>
  <cellStyleXfs count="8">
    <xf numFmtId="0" fontId="0" fillId="0" borderId="0"/>
    <xf numFmtId="180" fontId="56" fillId="0" borderId="0" applyBorder="0" applyProtection="0"/>
    <xf numFmtId="9" fontId="45" fillId="0" borderId="0" applyFont="0" applyFill="0" applyBorder="0" applyAlignment="0" applyProtection="0"/>
    <xf numFmtId="0" fontId="18" fillId="0" borderId="0"/>
    <xf numFmtId="0" fontId="5" fillId="0" borderId="0"/>
    <xf numFmtId="44" fontId="29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1" fillId="0" borderId="0"/>
  </cellStyleXfs>
  <cellXfs count="843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3" fillId="0" borderId="0" xfId="0" applyFont="1" applyBorder="1"/>
    <xf numFmtId="2" fontId="3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9" fontId="3" fillId="0" borderId="0" xfId="0" applyNumberFormat="1" applyFont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4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165" fontId="4" fillId="2" borderId="0" xfId="0" applyNumberFormat="1" applyFont="1" applyFill="1" applyBorder="1" applyAlignment="1">
      <alignment horizontal="center"/>
    </xf>
    <xf numFmtId="165" fontId="4" fillId="3" borderId="0" xfId="0" applyNumberFormat="1" applyFont="1" applyFill="1" applyBorder="1" applyAlignment="1">
      <alignment horizontal="center"/>
    </xf>
    <xf numFmtId="165" fontId="4" fillId="4" borderId="0" xfId="0" applyNumberFormat="1" applyFont="1" applyFill="1" applyBorder="1" applyAlignment="1">
      <alignment horizontal="center"/>
    </xf>
    <xf numFmtId="165" fontId="4" fillId="5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10" fillId="0" borderId="0" xfId="0" applyFont="1" applyBorder="1"/>
    <xf numFmtId="4" fontId="10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0" fontId="23" fillId="0" borderId="0" xfId="0" applyFont="1" applyBorder="1"/>
    <xf numFmtId="0" fontId="23" fillId="0" borderId="0" xfId="0" applyFont="1"/>
    <xf numFmtId="0" fontId="16" fillId="0" borderId="2" xfId="0" applyFont="1" applyFill="1" applyBorder="1" applyAlignment="1">
      <alignment vertical="center"/>
    </xf>
    <xf numFmtId="0" fontId="7" fillId="0" borderId="0" xfId="0" applyFont="1" applyBorder="1"/>
    <xf numFmtId="0" fontId="13" fillId="0" borderId="0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right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/>
    <xf numFmtId="0" fontId="57" fillId="0" borderId="0" xfId="0" applyFont="1" applyAlignment="1">
      <alignment horizontal="center"/>
    </xf>
    <xf numFmtId="0" fontId="57" fillId="0" borderId="3" xfId="0" applyFont="1" applyBorder="1" applyAlignment="1">
      <alignment horizontal="center"/>
    </xf>
    <xf numFmtId="0" fontId="0" fillId="0" borderId="2" xfId="0" applyBorder="1"/>
    <xf numFmtId="0" fontId="58" fillId="10" borderId="4" xfId="0" applyFont="1" applyFill="1" applyBorder="1"/>
    <xf numFmtId="0" fontId="58" fillId="10" borderId="5" xfId="0" applyFont="1" applyFill="1" applyBorder="1"/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57" fillId="0" borderId="0" xfId="0" applyFont="1"/>
    <xf numFmtId="0" fontId="0" fillId="0" borderId="7" xfId="0" applyBorder="1"/>
    <xf numFmtId="0" fontId="59" fillId="0" borderId="8" xfId="0" applyFont="1" applyBorder="1"/>
    <xf numFmtId="49" fontId="60" fillId="3" borderId="0" xfId="0" applyNumberFormat="1" applyFont="1" applyFill="1" applyAlignment="1" applyProtection="1">
      <alignment horizontal="left"/>
    </xf>
    <xf numFmtId="49" fontId="27" fillId="0" borderId="0" xfId="0" applyNumberFormat="1" applyFont="1" applyFill="1" applyAlignment="1" applyProtection="1">
      <alignment horizontal="left"/>
    </xf>
    <xf numFmtId="0" fontId="5" fillId="0" borderId="2" xfId="0" applyFont="1" applyBorder="1"/>
    <xf numFmtId="0" fontId="5" fillId="0" borderId="0" xfId="0" applyFont="1"/>
    <xf numFmtId="0" fontId="0" fillId="5" borderId="0" xfId="0" applyFill="1" applyBorder="1" applyAlignment="1">
      <alignment horizontal="center"/>
    </xf>
    <xf numFmtId="166" fontId="4" fillId="5" borderId="0" xfId="0" applyNumberFormat="1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6" fontId="4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7" fillId="11" borderId="0" xfId="0" applyFont="1" applyFill="1" applyBorder="1" applyAlignment="1">
      <alignment horizontal="center"/>
    </xf>
    <xf numFmtId="0" fontId="7" fillId="11" borderId="0" xfId="0" applyFont="1" applyFill="1" applyAlignment="1">
      <alignment horizontal="center"/>
    </xf>
    <xf numFmtId="0" fontId="7" fillId="11" borderId="0" xfId="0" applyFont="1" applyFill="1"/>
    <xf numFmtId="0" fontId="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6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2" fillId="0" borderId="0" xfId="0" applyFont="1" applyBorder="1" applyAlignment="1">
      <alignment horizontal="center"/>
    </xf>
    <xf numFmtId="4" fontId="3" fillId="0" borderId="9" xfId="0" applyNumberFormat="1" applyFont="1" applyBorder="1" applyAlignment="1">
      <alignment horizontal="center"/>
    </xf>
    <xf numFmtId="2" fontId="10" fillId="0" borderId="9" xfId="0" applyNumberFormat="1" applyFont="1" applyBorder="1" applyAlignment="1">
      <alignment horizontal="center"/>
    </xf>
    <xf numFmtId="0" fontId="0" fillId="0" borderId="9" xfId="0" applyBorder="1"/>
    <xf numFmtId="0" fontId="10" fillId="0" borderId="9" xfId="0" applyFont="1" applyBorder="1"/>
    <xf numFmtId="0" fontId="2" fillId="12" borderId="0" xfId="0" applyFont="1" applyFill="1" applyBorder="1" applyAlignment="1">
      <alignment horizontal="left"/>
    </xf>
    <xf numFmtId="0" fontId="0" fillId="12" borderId="0" xfId="0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0" fillId="12" borderId="0" xfId="0" applyFill="1" applyBorder="1"/>
    <xf numFmtId="2" fontId="0" fillId="12" borderId="0" xfId="0" applyNumberFormat="1" applyFill="1" applyBorder="1" applyAlignment="1">
      <alignment horizontal="center"/>
    </xf>
    <xf numFmtId="0" fontId="30" fillId="12" borderId="9" xfId="0" applyFont="1" applyFill="1" applyBorder="1" applyAlignment="1">
      <alignment horizontal="left" vertical="center"/>
    </xf>
    <xf numFmtId="0" fontId="30" fillId="12" borderId="0" xfId="0" applyFont="1" applyFill="1" applyBorder="1" applyAlignment="1">
      <alignment horizontal="left" vertical="center"/>
    </xf>
    <xf numFmtId="2" fontId="3" fillId="0" borderId="9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9" xfId="0" applyFont="1" applyBorder="1"/>
    <xf numFmtId="0" fontId="4" fillId="0" borderId="0" xfId="0" applyFont="1"/>
    <xf numFmtId="0" fontId="30" fillId="5" borderId="0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165" fontId="4" fillId="7" borderId="1" xfId="0" applyNumberFormat="1" applyFont="1" applyFill="1" applyBorder="1" applyAlignment="1">
      <alignment horizontal="center"/>
    </xf>
    <xf numFmtId="0" fontId="61" fillId="0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5" borderId="1" xfId="0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1" xfId="0" applyFill="1" applyBorder="1"/>
    <xf numFmtId="0" fontId="62" fillId="0" borderId="1" xfId="0" applyFont="1" applyFill="1" applyBorder="1"/>
    <xf numFmtId="0" fontId="62" fillId="0" borderId="0" xfId="0" applyFont="1" applyFill="1" applyBorder="1"/>
    <xf numFmtId="0" fontId="5" fillId="5" borderId="1" xfId="0" applyFont="1" applyFill="1" applyBorder="1" applyAlignment="1">
      <alignment horizontal="center"/>
    </xf>
    <xf numFmtId="0" fontId="4" fillId="0" borderId="0" xfId="0" applyFont="1" applyBorder="1" applyAlignment="1">
      <alignment vertical="center"/>
    </xf>
    <xf numFmtId="172" fontId="4" fillId="0" borderId="0" xfId="0" applyNumberFormat="1" applyFont="1" applyBorder="1" applyAlignment="1">
      <alignment vertical="center"/>
    </xf>
    <xf numFmtId="0" fontId="17" fillId="14" borderId="0" xfId="0" applyFont="1" applyFill="1" applyBorder="1" applyAlignment="1">
      <alignment vertical="center"/>
    </xf>
    <xf numFmtId="0" fontId="13" fillId="14" borderId="0" xfId="0" applyFont="1" applyFill="1" applyBorder="1" applyAlignment="1">
      <alignment vertical="center"/>
    </xf>
    <xf numFmtId="0" fontId="13" fillId="14" borderId="0" xfId="0" applyFont="1" applyFill="1" applyBorder="1" applyAlignment="1">
      <alignment horizontal="left" vertical="center"/>
    </xf>
    <xf numFmtId="0" fontId="13" fillId="8" borderId="0" xfId="0" applyFont="1" applyFill="1" applyBorder="1" applyAlignment="1">
      <alignment vertical="center"/>
    </xf>
    <xf numFmtId="0" fontId="4" fillId="8" borderId="0" xfId="0" applyFont="1" applyFill="1" applyBorder="1" applyAlignment="1">
      <alignment vertical="center"/>
    </xf>
    <xf numFmtId="0" fontId="4" fillId="0" borderId="0" xfId="0" applyFont="1" applyFill="1" applyBorder="1"/>
    <xf numFmtId="0" fontId="24" fillId="0" borderId="0" xfId="0" applyFont="1" applyFill="1" applyBorder="1"/>
    <xf numFmtId="49" fontId="4" fillId="0" borderId="0" xfId="0" applyNumberFormat="1" applyFont="1" applyBorder="1" applyAlignment="1"/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25" fillId="0" borderId="0" xfId="0" applyFont="1"/>
    <xf numFmtId="0" fontId="25" fillId="0" borderId="4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28" fillId="14" borderId="0" xfId="0" applyFont="1" applyFill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3" fillId="12" borderId="0" xfId="0" applyFont="1" applyFill="1" applyAlignment="1">
      <alignment vertical="center"/>
    </xf>
    <xf numFmtId="0" fontId="12" fillId="0" borderId="1" xfId="0" applyFont="1" applyFill="1" applyBorder="1" applyAlignment="1"/>
    <xf numFmtId="0" fontId="12" fillId="0" borderId="0" xfId="0" applyFont="1" applyFill="1" applyBorder="1" applyAlignment="1"/>
    <xf numFmtId="0" fontId="7" fillId="15" borderId="0" xfId="0" applyFont="1" applyFill="1" applyBorder="1" applyAlignment="1">
      <alignment horizontal="center"/>
    </xf>
    <xf numFmtId="0" fontId="7" fillId="15" borderId="0" xfId="0" applyFont="1" applyFill="1" applyAlignment="1">
      <alignment horizontal="center"/>
    </xf>
    <xf numFmtId="0" fontId="7" fillId="15" borderId="0" xfId="0" applyFont="1" applyFill="1"/>
    <xf numFmtId="0" fontId="7" fillId="16" borderId="0" xfId="0" applyFont="1" applyFill="1" applyBorder="1" applyAlignment="1">
      <alignment horizontal="center"/>
    </xf>
    <xf numFmtId="0" fontId="7" fillId="16" borderId="0" xfId="0" applyFont="1" applyFill="1" applyAlignment="1">
      <alignment horizontal="center"/>
    </xf>
    <xf numFmtId="0" fontId="7" fillId="16" borderId="0" xfId="0" applyFont="1" applyFill="1"/>
    <xf numFmtId="0" fontId="33" fillId="12" borderId="0" xfId="0" applyFont="1" applyFill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0" fontId="22" fillId="0" borderId="0" xfId="0" applyFont="1"/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4" fillId="8" borderId="0" xfId="0" applyFont="1" applyFill="1"/>
    <xf numFmtId="0" fontId="4" fillId="8" borderId="0" xfId="0" applyFont="1" applyFill="1" applyAlignment="1">
      <alignment horizontal="left"/>
    </xf>
    <xf numFmtId="0" fontId="0" fillId="0" borderId="10" xfId="0" applyBorder="1"/>
    <xf numFmtId="0" fontId="63" fillId="0" borderId="13" xfId="0" applyFont="1" applyFill="1" applyBorder="1" applyAlignment="1">
      <alignment vertical="top"/>
    </xf>
    <xf numFmtId="0" fontId="63" fillId="0" borderId="3" xfId="0" applyFont="1" applyFill="1" applyBorder="1" applyAlignment="1">
      <alignment vertical="top"/>
    </xf>
    <xf numFmtId="0" fontId="63" fillId="0" borderId="14" xfId="0" applyFont="1" applyFill="1" applyBorder="1" applyAlignment="1">
      <alignment vertical="top"/>
    </xf>
    <xf numFmtId="0" fontId="4" fillId="0" borderId="3" xfId="0" applyFont="1" applyFill="1" applyBorder="1" applyAlignment="1">
      <alignment horizontal="left" vertical="top"/>
    </xf>
    <xf numFmtId="0" fontId="4" fillId="0" borderId="14" xfId="0" applyFont="1" applyFill="1" applyBorder="1" applyAlignment="1">
      <alignment horizontal="left" vertical="top"/>
    </xf>
    <xf numFmtId="0" fontId="4" fillId="0" borderId="3" xfId="0" applyFont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4" fillId="0" borderId="13" xfId="0" applyFont="1" applyFill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63" fillId="0" borderId="3" xfId="0" applyFont="1" applyBorder="1" applyAlignment="1">
      <alignment vertical="top"/>
    </xf>
    <xf numFmtId="0" fontId="63" fillId="0" borderId="14" xfId="0" applyFont="1" applyBorder="1" applyAlignment="1">
      <alignment vertical="top"/>
    </xf>
    <xf numFmtId="0" fontId="63" fillId="0" borderId="15" xfId="0" applyFont="1" applyFill="1" applyBorder="1" applyAlignment="1">
      <alignment vertical="top"/>
    </xf>
    <xf numFmtId="0" fontId="63" fillId="0" borderId="16" xfId="0" applyFont="1" applyFill="1" applyBorder="1" applyAlignment="1">
      <alignment vertical="top"/>
    </xf>
    <xf numFmtId="0" fontId="63" fillId="0" borderId="17" xfId="0" applyFont="1" applyFill="1" applyBorder="1" applyAlignment="1">
      <alignment vertical="top"/>
    </xf>
    <xf numFmtId="0" fontId="4" fillId="0" borderId="16" xfId="0" applyFont="1" applyFill="1" applyBorder="1" applyAlignment="1">
      <alignment horizontal="left" vertical="top"/>
    </xf>
    <xf numFmtId="0" fontId="4" fillId="0" borderId="17" xfId="0" applyFont="1" applyFill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5" xfId="0" applyFont="1" applyFill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63" fillId="0" borderId="16" xfId="0" applyFont="1" applyBorder="1" applyAlignment="1">
      <alignment vertical="top"/>
    </xf>
    <xf numFmtId="0" fontId="63" fillId="0" borderId="17" xfId="0" applyFont="1" applyBorder="1" applyAlignment="1">
      <alignment vertical="top"/>
    </xf>
    <xf numFmtId="0" fontId="35" fillId="0" borderId="3" xfId="0" applyFont="1" applyBorder="1" applyAlignment="1"/>
    <xf numFmtId="0" fontId="0" fillId="0" borderId="18" xfId="0" applyBorder="1"/>
    <xf numFmtId="0" fontId="0" fillId="0" borderId="3" xfId="0" applyBorder="1"/>
    <xf numFmtId="0" fontId="0" fillId="0" borderId="19" xfId="0" applyBorder="1"/>
    <xf numFmtId="0" fontId="32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2" fillId="0" borderId="0" xfId="4" applyFont="1" applyBorder="1" applyAlignment="1">
      <alignment horizontal="center" vertical="center"/>
    </xf>
    <xf numFmtId="0" fontId="22" fillId="0" borderId="0" xfId="3" applyFont="1" applyBorder="1" applyAlignment="1">
      <alignment horizontal="center" vertical="center"/>
    </xf>
    <xf numFmtId="0" fontId="4" fillId="17" borderId="20" xfId="0" applyFont="1" applyFill="1" applyBorder="1" applyAlignment="1" applyProtection="1">
      <alignment horizontal="right"/>
      <protection locked="0"/>
    </xf>
    <xf numFmtId="0" fontId="4" fillId="17" borderId="21" xfId="0" applyFont="1" applyFill="1" applyBorder="1" applyAlignment="1" applyProtection="1">
      <alignment horizontal="right"/>
      <protection locked="0"/>
    </xf>
    <xf numFmtId="168" fontId="4" fillId="17" borderId="20" xfId="0" applyNumberFormat="1" applyFont="1" applyFill="1" applyBorder="1" applyAlignment="1" applyProtection="1">
      <alignment horizontal="right"/>
      <protection locked="0"/>
    </xf>
    <xf numFmtId="168" fontId="4" fillId="17" borderId="21" xfId="0" applyNumberFormat="1" applyFont="1" applyFill="1" applyBorder="1" applyAlignment="1" applyProtection="1">
      <alignment horizontal="right"/>
      <protection locked="0"/>
    </xf>
    <xf numFmtId="168" fontId="4" fillId="17" borderId="22" xfId="0" applyNumberFormat="1" applyFont="1" applyFill="1" applyBorder="1" applyAlignment="1" applyProtection="1">
      <alignment horizontal="right"/>
      <protection locked="0"/>
    </xf>
    <xf numFmtId="0" fontId="36" fillId="8" borderId="23" xfId="0" applyFont="1" applyFill="1" applyBorder="1" applyAlignment="1"/>
    <xf numFmtId="0" fontId="16" fillId="8" borderId="11" xfId="0" applyFont="1" applyFill="1" applyBorder="1" applyAlignment="1">
      <alignment horizontal="center"/>
    </xf>
    <xf numFmtId="0" fontId="4" fillId="8" borderId="13" xfId="0" applyFont="1" applyFill="1" applyBorder="1" applyAlignment="1"/>
    <xf numFmtId="0" fontId="4" fillId="8" borderId="1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left"/>
    </xf>
    <xf numFmtId="0" fontId="4" fillId="8" borderId="24" xfId="0" applyFont="1" applyFill="1" applyBorder="1"/>
    <xf numFmtId="0" fontId="33" fillId="0" borderId="0" xfId="3" applyFont="1" applyBorder="1" applyAlignment="1">
      <alignment horizontal="left" vertical="center"/>
    </xf>
    <xf numFmtId="2" fontId="33" fillId="0" borderId="0" xfId="4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165" fontId="4" fillId="0" borderId="0" xfId="0" applyNumberFormat="1" applyFont="1" applyBorder="1" applyAlignment="1">
      <alignment horizontal="right"/>
    </xf>
    <xf numFmtId="165" fontId="4" fillId="0" borderId="0" xfId="0" applyNumberFormat="1" applyFont="1" applyFill="1" applyBorder="1" applyAlignment="1">
      <alignment horizontal="right"/>
    </xf>
    <xf numFmtId="44" fontId="14" fillId="0" borderId="0" xfId="0" applyNumberFormat="1" applyFont="1" applyBorder="1" applyAlignment="1">
      <alignment horizontal="right"/>
    </xf>
    <xf numFmtId="44" fontId="4" fillId="0" borderId="0" xfId="0" applyNumberFormat="1" applyFont="1" applyBorder="1"/>
    <xf numFmtId="9" fontId="4" fillId="0" borderId="0" xfId="0" applyNumberFormat="1" applyFont="1" applyBorder="1"/>
    <xf numFmtId="0" fontId="4" fillId="0" borderId="2" xfId="0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right"/>
    </xf>
    <xf numFmtId="165" fontId="4" fillId="0" borderId="2" xfId="0" applyNumberFormat="1" applyFont="1" applyFill="1" applyBorder="1" applyAlignment="1">
      <alignment horizontal="right"/>
    </xf>
    <xf numFmtId="44" fontId="4" fillId="0" borderId="0" xfId="0" applyNumberFormat="1" applyFont="1" applyFill="1" applyBorder="1"/>
    <xf numFmtId="0" fontId="4" fillId="0" borderId="2" xfId="0" applyFont="1" applyFill="1" applyBorder="1" applyAlignment="1">
      <alignment horizontal="left"/>
    </xf>
    <xf numFmtId="9" fontId="4" fillId="0" borderId="2" xfId="0" applyNumberFormat="1" applyFont="1" applyFill="1" applyBorder="1" applyAlignment="1">
      <alignment horizontal="right"/>
    </xf>
    <xf numFmtId="0" fontId="4" fillId="0" borderId="2" xfId="0" applyFont="1" applyFill="1" applyBorder="1" applyAlignment="1">
      <alignment horizontal="right"/>
    </xf>
    <xf numFmtId="44" fontId="4" fillId="0" borderId="0" xfId="0" applyNumberFormat="1" applyFont="1" applyFill="1" applyBorder="1" applyAlignment="1"/>
    <xf numFmtId="0" fontId="4" fillId="0" borderId="0" xfId="0" applyFont="1" applyFill="1" applyBorder="1" applyAlignment="1">
      <alignment horizontal="left"/>
    </xf>
    <xf numFmtId="0" fontId="64" fillId="0" borderId="0" xfId="0" applyFont="1" applyFill="1" applyBorder="1" applyAlignment="1">
      <alignment horizontal="right"/>
    </xf>
    <xf numFmtId="0" fontId="65" fillId="0" borderId="2" xfId="0" applyFont="1" applyFill="1" applyBorder="1" applyAlignment="1">
      <alignment horizontal="left" vertical="center" wrapText="1"/>
    </xf>
    <xf numFmtId="165" fontId="65" fillId="0" borderId="2" xfId="0" applyNumberFormat="1" applyFont="1" applyBorder="1" applyAlignment="1">
      <alignment horizontal="right"/>
    </xf>
    <xf numFmtId="0" fontId="66" fillId="0" borderId="2" xfId="0" applyFont="1" applyFill="1" applyBorder="1" applyAlignment="1">
      <alignment horizontal="left" vertical="center" wrapText="1"/>
    </xf>
    <xf numFmtId="0" fontId="41" fillId="0" borderId="0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12" fillId="0" borderId="0" xfId="0" applyFont="1" applyBorder="1"/>
    <xf numFmtId="44" fontId="12" fillId="0" borderId="0" xfId="0" applyNumberFormat="1" applyFont="1" applyFill="1" applyBorder="1"/>
    <xf numFmtId="0" fontId="12" fillId="0" borderId="0" xfId="0" applyFont="1"/>
    <xf numFmtId="0" fontId="12" fillId="0" borderId="2" xfId="0" applyFont="1" applyFill="1" applyBorder="1" applyAlignment="1">
      <alignment horizontal="left"/>
    </xf>
    <xf numFmtId="44" fontId="12" fillId="0" borderId="0" xfId="0" applyNumberFormat="1" applyFont="1" applyFill="1" applyBorder="1" applyAlignment="1">
      <alignment horizontal="right"/>
    </xf>
    <xf numFmtId="165" fontId="12" fillId="0" borderId="0" xfId="0" applyNumberFormat="1" applyFont="1" applyFill="1" applyBorder="1" applyAlignment="1">
      <alignment horizontal="center"/>
    </xf>
    <xf numFmtId="1" fontId="12" fillId="0" borderId="0" xfId="0" applyNumberFormat="1" applyFont="1" applyFill="1" applyBorder="1" applyAlignment="1">
      <alignment horizontal="right"/>
    </xf>
    <xf numFmtId="165" fontId="12" fillId="0" borderId="0" xfId="0" applyNumberFormat="1" applyFont="1" applyFill="1" applyBorder="1" applyAlignment="1">
      <alignment horizontal="right"/>
    </xf>
    <xf numFmtId="0" fontId="12" fillId="0" borderId="2" xfId="0" applyFont="1" applyFill="1" applyBorder="1" applyAlignment="1">
      <alignment horizontal="right"/>
    </xf>
    <xf numFmtId="0" fontId="12" fillId="0" borderId="2" xfId="0" applyFont="1" applyBorder="1" applyAlignment="1">
      <alignment horizontal="right"/>
    </xf>
    <xf numFmtId="165" fontId="12" fillId="0" borderId="0" xfId="0" applyNumberFormat="1" applyFont="1" applyFill="1" applyBorder="1" applyAlignment="1">
      <alignment horizontal="left"/>
    </xf>
    <xf numFmtId="0" fontId="16" fillId="0" borderId="3" xfId="0" applyFont="1" applyFill="1" applyBorder="1" applyAlignment="1">
      <alignment vertical="center"/>
    </xf>
    <xf numFmtId="44" fontId="49" fillId="0" borderId="0" xfId="0" applyNumberFormat="1" applyFont="1" applyBorder="1" applyAlignment="1"/>
    <xf numFmtId="176" fontId="67" fillId="0" borderId="2" xfId="0" applyNumberFormat="1" applyFont="1" applyFill="1" applyBorder="1" applyAlignment="1">
      <alignment horizontal="right"/>
    </xf>
    <xf numFmtId="0" fontId="50" fillId="0" borderId="0" xfId="0" applyFont="1" applyBorder="1"/>
    <xf numFmtId="178" fontId="50" fillId="0" borderId="2" xfId="0" applyNumberFormat="1" applyFont="1" applyFill="1" applyBorder="1" applyAlignment="1">
      <alignment horizontal="right"/>
    </xf>
    <xf numFmtId="44" fontId="67" fillId="0" borderId="2" xfId="0" applyNumberFormat="1" applyFont="1" applyBorder="1" applyAlignment="1">
      <alignment horizontal="right"/>
    </xf>
    <xf numFmtId="42" fontId="50" fillId="0" borderId="2" xfId="0" applyNumberFormat="1" applyFont="1" applyFill="1" applyBorder="1" applyAlignment="1">
      <alignment horizontal="right"/>
    </xf>
    <xf numFmtId="0" fontId="30" fillId="0" borderId="0" xfId="0" applyFont="1" applyBorder="1"/>
    <xf numFmtId="42" fontId="30" fillId="0" borderId="2" xfId="0" applyNumberFormat="1" applyFont="1" applyFill="1" applyBorder="1" applyAlignment="1">
      <alignment horizontal="right"/>
    </xf>
    <xf numFmtId="0" fontId="30" fillId="8" borderId="14" xfId="0" applyFont="1" applyFill="1" applyBorder="1" applyAlignment="1">
      <alignment horizontal="center"/>
    </xf>
    <xf numFmtId="0" fontId="50" fillId="0" borderId="0" xfId="0" applyFont="1"/>
    <xf numFmtId="179" fontId="50" fillId="0" borderId="2" xfId="0" applyNumberFormat="1" applyFont="1" applyFill="1" applyBorder="1" applyAlignment="1">
      <alignment horizontal="right"/>
    </xf>
    <xf numFmtId="0" fontId="36" fillId="0" borderId="10" xfId="0" applyFont="1" applyFill="1" applyBorder="1" applyAlignment="1">
      <alignment horizontal="left"/>
    </xf>
    <xf numFmtId="0" fontId="51" fillId="8" borderId="11" xfId="0" applyFont="1" applyFill="1" applyBorder="1" applyAlignment="1">
      <alignment horizontal="center"/>
    </xf>
    <xf numFmtId="0" fontId="12" fillId="8" borderId="0" xfId="0" applyFont="1" applyFill="1"/>
    <xf numFmtId="0" fontId="12" fillId="8" borderId="0" xfId="0" applyFont="1" applyFill="1" applyAlignment="1">
      <alignment horizontal="left"/>
    </xf>
    <xf numFmtId="0" fontId="28" fillId="14" borderId="3" xfId="0" applyFont="1" applyFill="1" applyBorder="1" applyAlignment="1">
      <alignment vertical="center"/>
    </xf>
    <xf numFmtId="0" fontId="17" fillId="14" borderId="3" xfId="0" applyFont="1" applyFill="1" applyBorder="1" applyAlignment="1">
      <alignment vertical="center"/>
    </xf>
    <xf numFmtId="0" fontId="13" fillId="14" borderId="3" xfId="0" applyFont="1" applyFill="1" applyBorder="1" applyAlignment="1">
      <alignment vertical="center"/>
    </xf>
    <xf numFmtId="0" fontId="13" fillId="14" borderId="3" xfId="0" applyFont="1" applyFill="1" applyBorder="1" applyAlignment="1">
      <alignment horizontal="left" vertical="center"/>
    </xf>
    <xf numFmtId="0" fontId="9" fillId="0" borderId="10" xfId="0" applyFont="1" applyBorder="1" applyAlignment="1">
      <alignment horizontal="center"/>
    </xf>
    <xf numFmtId="0" fontId="3" fillId="0" borderId="23" xfId="0" applyFont="1" applyBorder="1" applyAlignment="1">
      <alignment horizontal="left"/>
    </xf>
    <xf numFmtId="165" fontId="4" fillId="0" borderId="23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166" fontId="4" fillId="0" borderId="23" xfId="0" applyNumberFormat="1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166" fontId="4" fillId="0" borderId="23" xfId="0" applyNumberFormat="1" applyFont="1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9" fillId="0" borderId="23" xfId="0" applyFont="1" applyBorder="1" applyAlignment="1">
      <alignment horizontal="left"/>
    </xf>
    <xf numFmtId="165" fontId="70" fillId="0" borderId="23" xfId="0" applyNumberFormat="1" applyFont="1" applyBorder="1" applyAlignment="1">
      <alignment horizontal="center"/>
    </xf>
    <xf numFmtId="165" fontId="70" fillId="0" borderId="10" xfId="0" applyNumberFormat="1" applyFont="1" applyBorder="1" applyAlignment="1">
      <alignment horizontal="center"/>
    </xf>
    <xf numFmtId="2" fontId="70" fillId="0" borderId="23" xfId="0" applyNumberFormat="1" applyFont="1" applyBorder="1" applyAlignment="1">
      <alignment horizontal="center"/>
    </xf>
    <xf numFmtId="2" fontId="70" fillId="0" borderId="10" xfId="0" applyNumberFormat="1" applyFont="1" applyBorder="1" applyAlignment="1">
      <alignment horizontal="center"/>
    </xf>
    <xf numFmtId="166" fontId="70" fillId="0" borderId="23" xfId="0" applyNumberFormat="1" applyFont="1" applyBorder="1" applyAlignment="1">
      <alignment horizontal="center"/>
    </xf>
    <xf numFmtId="4" fontId="70" fillId="0" borderId="10" xfId="0" applyNumberFormat="1" applyFont="1" applyBorder="1" applyAlignment="1">
      <alignment horizontal="center"/>
    </xf>
    <xf numFmtId="166" fontId="70" fillId="0" borderId="23" xfId="0" applyNumberFormat="1" applyFont="1" applyBorder="1" applyAlignment="1">
      <alignment horizontal="left"/>
    </xf>
    <xf numFmtId="0" fontId="71" fillId="0" borderId="10" xfId="0" applyFont="1" applyBorder="1"/>
    <xf numFmtId="0" fontId="68" fillId="0" borderId="0" xfId="0" applyFont="1" applyBorder="1" applyAlignment="1">
      <alignment horizontal="center"/>
    </xf>
    <xf numFmtId="0" fontId="69" fillId="0" borderId="1" xfId="0" applyFont="1" applyBorder="1" applyAlignment="1">
      <alignment horizontal="left"/>
    </xf>
    <xf numFmtId="165" fontId="70" fillId="0" borderId="1" xfId="0" applyNumberFormat="1" applyFont="1" applyBorder="1" applyAlignment="1">
      <alignment horizontal="center"/>
    </xf>
    <xf numFmtId="165" fontId="70" fillId="0" borderId="0" xfId="0" applyNumberFormat="1" applyFont="1" applyBorder="1" applyAlignment="1">
      <alignment horizontal="center"/>
    </xf>
    <xf numFmtId="2" fontId="70" fillId="0" borderId="1" xfId="0" applyNumberFormat="1" applyFont="1" applyBorder="1" applyAlignment="1">
      <alignment horizontal="center"/>
    </xf>
    <xf numFmtId="2" fontId="70" fillId="0" borderId="0" xfId="0" applyNumberFormat="1" applyFont="1" applyBorder="1" applyAlignment="1">
      <alignment horizontal="center"/>
    </xf>
    <xf numFmtId="166" fontId="70" fillId="0" borderId="1" xfId="0" applyNumberFormat="1" applyFont="1" applyBorder="1" applyAlignment="1">
      <alignment horizontal="center"/>
    </xf>
    <xf numFmtId="4" fontId="70" fillId="0" borderId="0" xfId="0" applyNumberFormat="1" applyFont="1" applyBorder="1" applyAlignment="1">
      <alignment horizontal="center"/>
    </xf>
    <xf numFmtId="166" fontId="70" fillId="0" borderId="1" xfId="0" applyNumberFormat="1" applyFont="1" applyBorder="1" applyAlignment="1">
      <alignment horizontal="left"/>
    </xf>
    <xf numFmtId="0" fontId="71" fillId="0" borderId="0" xfId="0" applyFont="1"/>
    <xf numFmtId="2" fontId="25" fillId="13" borderId="1" xfId="0" applyNumberFormat="1" applyFont="1" applyFill="1" applyBorder="1" applyAlignment="1">
      <alignment horizontal="center"/>
    </xf>
    <xf numFmtId="165" fontId="4" fillId="18" borderId="0" xfId="0" applyNumberFormat="1" applyFont="1" applyFill="1" applyBorder="1" applyAlignment="1">
      <alignment horizontal="center"/>
    </xf>
    <xf numFmtId="0" fontId="62" fillId="18" borderId="0" xfId="0" applyFont="1" applyFill="1" applyBorder="1" applyAlignment="1">
      <alignment horizontal="center"/>
    </xf>
    <xf numFmtId="165" fontId="4" fillId="18" borderId="10" xfId="0" applyNumberFormat="1" applyFont="1" applyFill="1" applyBorder="1" applyAlignment="1">
      <alignment horizontal="center"/>
    </xf>
    <xf numFmtId="165" fontId="70" fillId="18" borderId="10" xfId="0" applyNumberFormat="1" applyFont="1" applyFill="1" applyBorder="1" applyAlignment="1">
      <alignment horizontal="center"/>
    </xf>
    <xf numFmtId="165" fontId="70" fillId="18" borderId="0" xfId="0" applyNumberFormat="1" applyFont="1" applyFill="1" applyBorder="1" applyAlignment="1">
      <alignment horizontal="center"/>
    </xf>
    <xf numFmtId="42" fontId="50" fillId="0" borderId="0" xfId="0" applyNumberFormat="1" applyFont="1" applyFill="1" applyBorder="1" applyAlignment="1">
      <alignment horizontal="right"/>
    </xf>
    <xf numFmtId="0" fontId="72" fillId="14" borderId="2" xfId="0" applyFont="1" applyFill="1" applyBorder="1" applyAlignment="1">
      <alignment horizontal="left"/>
    </xf>
    <xf numFmtId="0" fontId="72" fillId="14" borderId="2" xfId="0" applyFont="1" applyFill="1" applyBorder="1" applyAlignment="1">
      <alignment horizontal="right"/>
    </xf>
    <xf numFmtId="177" fontId="73" fillId="14" borderId="2" xfId="0" applyNumberFormat="1" applyFont="1" applyFill="1" applyBorder="1" applyAlignment="1">
      <alignment horizontal="right"/>
    </xf>
    <xf numFmtId="9" fontId="64" fillId="0" borderId="2" xfId="0" applyNumberFormat="1" applyFont="1" applyFill="1" applyBorder="1" applyAlignment="1">
      <alignment horizontal="right"/>
    </xf>
    <xf numFmtId="0" fontId="4" fillId="0" borderId="2" xfId="0" applyFont="1" applyBorder="1"/>
    <xf numFmtId="0" fontId="50" fillId="0" borderId="2" xfId="0" applyFont="1" applyBorder="1"/>
    <xf numFmtId="0" fontId="4" fillId="0" borderId="2" xfId="0" applyFont="1" applyBorder="1" applyAlignment="1"/>
    <xf numFmtId="0" fontId="14" fillId="0" borderId="2" xfId="0" applyFont="1" applyFill="1" applyBorder="1" applyAlignment="1">
      <alignment horizontal="left"/>
    </xf>
    <xf numFmtId="0" fontId="64" fillId="0" borderId="2" xfId="0" applyFont="1" applyFill="1" applyBorder="1" applyAlignment="1">
      <alignment horizontal="right"/>
    </xf>
    <xf numFmtId="0" fontId="74" fillId="19" borderId="2" xfId="0" applyFont="1" applyFill="1" applyBorder="1" applyAlignment="1">
      <alignment horizontal="left"/>
    </xf>
    <xf numFmtId="0" fontId="74" fillId="19" borderId="2" xfId="0" applyFont="1" applyFill="1" applyBorder="1" applyAlignment="1">
      <alignment horizontal="right"/>
    </xf>
    <xf numFmtId="177" fontId="75" fillId="19" borderId="2" xfId="0" applyNumberFormat="1" applyFont="1" applyFill="1" applyBorder="1" applyAlignment="1">
      <alignment horizontal="right"/>
    </xf>
    <xf numFmtId="165" fontId="65" fillId="0" borderId="2" xfId="0" applyNumberFormat="1" applyFont="1" applyFill="1" applyBorder="1" applyAlignment="1">
      <alignment horizontal="right"/>
    </xf>
    <xf numFmtId="0" fontId="36" fillId="8" borderId="10" xfId="0" applyFont="1" applyFill="1" applyBorder="1" applyAlignment="1">
      <alignment horizontal="left"/>
    </xf>
    <xf numFmtId="0" fontId="4" fillId="8" borderId="3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left"/>
    </xf>
    <xf numFmtId="0" fontId="4" fillId="8" borderId="24" xfId="0" applyFont="1" applyFill="1" applyBorder="1" applyAlignment="1">
      <alignment horizontal="left"/>
    </xf>
    <xf numFmtId="0" fontId="42" fillId="0" borderId="0" xfId="0" applyFont="1" applyAlignment="1">
      <alignment horizontal="left"/>
    </xf>
    <xf numFmtId="177" fontId="78" fillId="19" borderId="0" xfId="0" applyNumberFormat="1" applyFont="1" applyFill="1" applyBorder="1" applyAlignment="1">
      <alignment horizontal="right"/>
    </xf>
    <xf numFmtId="0" fontId="79" fillId="19" borderId="0" xfId="0" applyFont="1" applyFill="1" applyBorder="1" applyAlignment="1">
      <alignment horizontal="left"/>
    </xf>
    <xf numFmtId="0" fontId="79" fillId="19" borderId="0" xfId="0" applyFont="1" applyFill="1" applyBorder="1" applyAlignment="1">
      <alignment horizontal="right"/>
    </xf>
    <xf numFmtId="0" fontId="4" fillId="17" borderId="22" xfId="0" applyFont="1" applyFill="1" applyBorder="1" applyAlignment="1" applyProtection="1">
      <alignment horizontal="right"/>
      <protection locked="0"/>
    </xf>
    <xf numFmtId="0" fontId="15" fillId="17" borderId="28" xfId="0" applyFont="1" applyFill="1" applyBorder="1" applyAlignment="1" applyProtection="1">
      <alignment vertical="center"/>
      <protection locked="0"/>
    </xf>
    <xf numFmtId="0" fontId="15" fillId="17" borderId="21" xfId="0" applyFont="1" applyFill="1" applyBorder="1" applyAlignment="1" applyProtection="1">
      <alignment vertical="center"/>
      <protection locked="0"/>
    </xf>
    <xf numFmtId="0" fontId="44" fillId="0" borderId="0" xfId="0" applyFont="1" applyBorder="1" applyProtection="1"/>
    <xf numFmtId="0" fontId="14" fillId="0" borderId="0" xfId="0" applyFont="1" applyBorder="1" applyProtection="1"/>
    <xf numFmtId="49" fontId="14" fillId="0" borderId="0" xfId="0" applyNumberFormat="1" applyFont="1" applyBorder="1" applyProtection="1"/>
    <xf numFmtId="173" fontId="41" fillId="0" borderId="0" xfId="5" applyNumberFormat="1" applyFont="1" applyBorder="1" applyProtection="1"/>
    <xf numFmtId="1" fontId="14" fillId="0" borderId="0" xfId="0" applyNumberFormat="1" applyFont="1" applyBorder="1" applyAlignment="1" applyProtection="1">
      <alignment horizontal="center"/>
    </xf>
    <xf numFmtId="0" fontId="14" fillId="0" borderId="0" xfId="0" applyFont="1" applyProtection="1"/>
    <xf numFmtId="0" fontId="14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0" fontId="19" fillId="4" borderId="30" xfId="0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0" fontId="81" fillId="0" borderId="31" xfId="0" applyFont="1" applyBorder="1" applyAlignment="1" applyProtection="1"/>
    <xf numFmtId="0" fontId="13" fillId="0" borderId="32" xfId="0" applyFont="1" applyBorder="1" applyProtection="1"/>
    <xf numFmtId="0" fontId="4" fillId="0" borderId="32" xfId="0" applyFont="1" applyFill="1" applyBorder="1" applyAlignment="1" applyProtection="1">
      <alignment horizontal="right"/>
    </xf>
    <xf numFmtId="173" fontId="12" fillId="0" borderId="0" xfId="5" applyNumberFormat="1" applyFont="1" applyProtection="1"/>
    <xf numFmtId="1" fontId="13" fillId="0" borderId="0" xfId="0" applyNumberFormat="1" applyFont="1" applyAlignment="1" applyProtection="1">
      <alignment horizontal="center"/>
    </xf>
    <xf numFmtId="0" fontId="0" fillId="0" borderId="0" xfId="0" applyProtection="1"/>
    <xf numFmtId="0" fontId="13" fillId="0" borderId="0" xfId="0" applyFont="1" applyProtection="1"/>
    <xf numFmtId="0" fontId="1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center"/>
    </xf>
    <xf numFmtId="3" fontId="13" fillId="0" borderId="0" xfId="0" applyNumberFormat="1" applyFont="1" applyAlignment="1" applyProtection="1">
      <alignment horizontal="center"/>
    </xf>
    <xf numFmtId="0" fontId="19" fillId="4" borderId="33" xfId="0" applyFont="1" applyFill="1" applyBorder="1" applyProtection="1"/>
    <xf numFmtId="0" fontId="13" fillId="0" borderId="29" xfId="0" applyFont="1" applyBorder="1" applyProtection="1"/>
    <xf numFmtId="0" fontId="4" fillId="0" borderId="29" xfId="0" applyFont="1" applyFill="1" applyBorder="1" applyAlignment="1" applyProtection="1">
      <alignment horizontal="right"/>
    </xf>
    <xf numFmtId="0" fontId="13" fillId="0" borderId="36" xfId="0" applyFont="1" applyBorder="1" applyProtection="1"/>
    <xf numFmtId="0" fontId="4" fillId="0" borderId="36" xfId="0" applyFont="1" applyFill="1" applyBorder="1" applyAlignment="1" applyProtection="1">
      <alignment horizontal="right"/>
    </xf>
    <xf numFmtId="44" fontId="82" fillId="0" borderId="0" xfId="5" applyFont="1" applyAlignment="1" applyProtection="1">
      <alignment horizontal="right" vertical="center"/>
    </xf>
    <xf numFmtId="0" fontId="13" fillId="0" borderId="0" xfId="0" applyFont="1" applyBorder="1" applyAlignment="1" applyProtection="1">
      <alignment horizontal="right"/>
    </xf>
    <xf numFmtId="0" fontId="39" fillId="4" borderId="30" xfId="0" applyFont="1" applyFill="1" applyBorder="1" applyProtection="1"/>
    <xf numFmtId="44" fontId="82" fillId="0" borderId="0" xfId="5" applyFont="1" applyAlignment="1" applyProtection="1">
      <alignment horizontal="left" vertical="center"/>
    </xf>
    <xf numFmtId="0" fontId="13" fillId="0" borderId="0" xfId="0" applyFont="1" applyBorder="1" applyProtection="1"/>
    <xf numFmtId="0" fontId="19" fillId="4" borderId="37" xfId="0" applyFont="1" applyFill="1" applyBorder="1" applyProtection="1"/>
    <xf numFmtId="0" fontId="39" fillId="4" borderId="37" xfId="0" applyFont="1" applyFill="1" applyBorder="1" applyProtection="1"/>
    <xf numFmtId="0" fontId="19" fillId="8" borderId="0" xfId="0" applyFont="1" applyFill="1" applyBorder="1" applyProtection="1"/>
    <xf numFmtId="0" fontId="64" fillId="8" borderId="0" xfId="0" applyFont="1" applyFill="1" applyBorder="1" applyAlignment="1" applyProtection="1">
      <alignment horizontal="right"/>
    </xf>
    <xf numFmtId="0" fontId="64" fillId="0" borderId="0" xfId="0" applyFont="1" applyFill="1" applyBorder="1" applyAlignment="1" applyProtection="1">
      <alignment horizontal="right"/>
    </xf>
    <xf numFmtId="44" fontId="83" fillId="0" borderId="0" xfId="5" applyFont="1" applyAlignment="1" applyProtection="1">
      <alignment horizontal="left" vertical="center"/>
    </xf>
    <xf numFmtId="0" fontId="39" fillId="4" borderId="33" xfId="0" applyFont="1" applyFill="1" applyBorder="1" applyProtection="1"/>
    <xf numFmtId="44" fontId="12" fillId="0" borderId="0" xfId="5" applyFont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left"/>
    </xf>
    <xf numFmtId="168" fontId="4" fillId="0" borderId="0" xfId="0" applyNumberFormat="1" applyFont="1" applyFill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13" fillId="0" borderId="0" xfId="0" applyFont="1" applyFill="1" applyBorder="1" applyProtection="1"/>
    <xf numFmtId="173" fontId="12" fillId="0" borderId="0" xfId="5" applyNumberFormat="1" applyFont="1" applyFill="1" applyBorder="1" applyProtection="1"/>
    <xf numFmtId="1" fontId="13" fillId="0" borderId="0" xfId="0" applyNumberFormat="1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0" fontId="13" fillId="0" borderId="0" xfId="0" applyFont="1" applyBorder="1" applyAlignment="1" applyProtection="1">
      <alignment horizontal="left"/>
    </xf>
    <xf numFmtId="0" fontId="13" fillId="0" borderId="0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3" fontId="14" fillId="0" borderId="0" xfId="0" applyNumberFormat="1" applyFont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 vertical="center"/>
    </xf>
    <xf numFmtId="173" fontId="12" fillId="0" borderId="0" xfId="5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/>
    </xf>
    <xf numFmtId="3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173" fontId="41" fillId="9" borderId="38" xfId="5" applyNumberFormat="1" applyFont="1" applyFill="1" applyBorder="1" applyAlignment="1" applyProtection="1">
      <alignment horizontal="center" vertical="center"/>
    </xf>
    <xf numFmtId="0" fontId="6" fillId="9" borderId="38" xfId="0" applyFont="1" applyFill="1" applyBorder="1" applyAlignment="1" applyProtection="1">
      <alignment horizontal="left" vertical="center"/>
    </xf>
    <xf numFmtId="0" fontId="13" fillId="0" borderId="0" xfId="0" applyFont="1" applyAlignment="1" applyProtection="1">
      <alignment vertical="center"/>
    </xf>
    <xf numFmtId="0" fontId="65" fillId="0" borderId="0" xfId="0" applyFont="1" applyBorder="1" applyAlignment="1" applyProtection="1">
      <alignment vertical="top"/>
    </xf>
    <xf numFmtId="0" fontId="65" fillId="0" borderId="0" xfId="0" applyFont="1" applyAlignment="1" applyProtection="1">
      <alignment vertical="center"/>
    </xf>
    <xf numFmtId="0" fontId="8" fillId="6" borderId="31" xfId="0" applyFont="1" applyFill="1" applyBorder="1" applyAlignment="1" applyProtection="1">
      <alignment vertical="center"/>
    </xf>
    <xf numFmtId="0" fontId="8" fillId="6" borderId="39" xfId="0" applyFont="1" applyFill="1" applyBorder="1" applyAlignment="1" applyProtection="1">
      <alignment vertical="center"/>
    </xf>
    <xf numFmtId="0" fontId="19" fillId="6" borderId="39" xfId="0" applyFont="1" applyFill="1" applyBorder="1" applyAlignment="1" applyProtection="1">
      <alignment vertical="center"/>
    </xf>
    <xf numFmtId="0" fontId="19" fillId="6" borderId="32" xfId="0" applyFont="1" applyFill="1" applyBorder="1" applyAlignment="1" applyProtection="1">
      <alignment vertical="center"/>
    </xf>
    <xf numFmtId="0" fontId="19" fillId="6" borderId="29" xfId="0" applyFont="1" applyFill="1" applyBorder="1" applyAlignment="1" applyProtection="1">
      <alignment vertical="center"/>
    </xf>
    <xf numFmtId="173" fontId="12" fillId="9" borderId="28" xfId="5" applyNumberFormat="1" applyFont="1" applyFill="1" applyBorder="1" applyAlignment="1" applyProtection="1">
      <alignment horizontal="center" wrapText="1"/>
    </xf>
    <xf numFmtId="0" fontId="26" fillId="9" borderId="40" xfId="0" applyFont="1" applyFill="1" applyBorder="1" applyAlignment="1" applyProtection="1">
      <alignment horizontal="center" wrapText="1"/>
    </xf>
    <xf numFmtId="0" fontId="26" fillId="9" borderId="3" xfId="0" applyFont="1" applyFill="1" applyBorder="1" applyAlignment="1" applyProtection="1">
      <alignment horizontal="center" wrapText="1"/>
    </xf>
    <xf numFmtId="0" fontId="9" fillId="9" borderId="28" xfId="0" applyFont="1" applyFill="1" applyBorder="1" applyAlignment="1" applyProtection="1">
      <alignment horizontal="center" wrapText="1"/>
    </xf>
    <xf numFmtId="0" fontId="9" fillId="9" borderId="40" xfId="0" applyFont="1" applyFill="1" applyBorder="1" applyAlignment="1" applyProtection="1">
      <alignment horizontal="center" wrapText="1"/>
    </xf>
    <xf numFmtId="0" fontId="9" fillId="9" borderId="3" xfId="0" applyFont="1" applyFill="1" applyBorder="1" applyAlignment="1" applyProtection="1">
      <alignment horizontal="center" wrapText="1"/>
    </xf>
    <xf numFmtId="165" fontId="9" fillId="9" borderId="40" xfId="0" applyNumberFormat="1" applyFont="1" applyFill="1" applyBorder="1" applyAlignment="1" applyProtection="1">
      <alignment horizontal="center" wrapText="1"/>
    </xf>
    <xf numFmtId="165" fontId="9" fillId="9" borderId="28" xfId="0" applyNumberFormat="1" applyFont="1" applyFill="1" applyBorder="1" applyAlignment="1" applyProtection="1">
      <alignment horizontal="center" wrapText="1"/>
    </xf>
    <xf numFmtId="166" fontId="21" fillId="9" borderId="3" xfId="0" applyNumberFormat="1" applyFont="1" applyFill="1" applyBorder="1" applyAlignment="1" applyProtection="1">
      <alignment horizontal="center" wrapText="1"/>
    </xf>
    <xf numFmtId="166" fontId="9" fillId="9" borderId="41" xfId="0" applyNumberFormat="1" applyFont="1" applyFill="1" applyBorder="1" applyAlignment="1" applyProtection="1">
      <alignment horizontal="left" wrapText="1"/>
    </xf>
    <xf numFmtId="166" fontId="27" fillId="9" borderId="3" xfId="0" applyNumberFormat="1" applyFont="1" applyFill="1" applyBorder="1" applyAlignment="1" applyProtection="1">
      <alignment horizontal="center" wrapText="1"/>
    </xf>
    <xf numFmtId="0" fontId="85" fillId="0" borderId="35" xfId="0" applyFont="1" applyBorder="1" applyAlignment="1" applyProtection="1">
      <alignment horizontal="left"/>
    </xf>
    <xf numFmtId="0" fontId="85" fillId="0" borderId="8" xfId="0" applyFont="1" applyBorder="1" applyAlignment="1" applyProtection="1">
      <alignment horizontal="left"/>
    </xf>
    <xf numFmtId="0" fontId="85" fillId="0" borderId="36" xfId="0" applyFont="1" applyBorder="1" applyAlignment="1" applyProtection="1">
      <alignment vertical="top"/>
    </xf>
    <xf numFmtId="0" fontId="4" fillId="0" borderId="3" xfId="0" applyFont="1" applyFill="1" applyBorder="1" applyAlignment="1" applyProtection="1">
      <alignment vertical="center"/>
    </xf>
    <xf numFmtId="173" fontId="4" fillId="9" borderId="29" xfId="5" applyNumberFormat="1" applyFont="1" applyFill="1" applyBorder="1" applyAlignment="1" applyProtection="1">
      <alignment horizontal="center"/>
    </xf>
    <xf numFmtId="175" fontId="4" fillId="9" borderId="34" xfId="0" applyNumberFormat="1" applyFont="1" applyFill="1" applyBorder="1" applyAlignment="1" applyProtection="1">
      <alignment horizontal="center"/>
    </xf>
    <xf numFmtId="175" fontId="4" fillId="9" borderId="0" xfId="0" applyNumberFormat="1" applyFont="1" applyFill="1" applyBorder="1" applyAlignment="1" applyProtection="1">
      <alignment horizontal="center"/>
    </xf>
    <xf numFmtId="175" fontId="4" fillId="9" borderId="29" xfId="0" applyNumberFormat="1" applyFont="1" applyFill="1" applyBorder="1" applyAlignment="1" applyProtection="1">
      <alignment horizontal="center"/>
    </xf>
    <xf numFmtId="44" fontId="4" fillId="9" borderId="0" xfId="5" applyFont="1" applyFill="1" applyBorder="1" applyAlignment="1" applyProtection="1">
      <alignment horizontal="center"/>
    </xf>
    <xf numFmtId="44" fontId="4" fillId="9" borderId="34" xfId="5" applyFont="1" applyFill="1" applyBorder="1" applyAlignment="1" applyProtection="1">
      <alignment horizontal="center"/>
    </xf>
    <xf numFmtId="2" fontId="4" fillId="9" borderId="34" xfId="0" applyNumberFormat="1" applyFont="1" applyFill="1" applyBorder="1" applyAlignment="1" applyProtection="1">
      <alignment horizontal="center"/>
    </xf>
    <xf numFmtId="2" fontId="4" fillId="9" borderId="0" xfId="0" applyNumberFormat="1" applyFont="1" applyFill="1" applyBorder="1" applyAlignment="1" applyProtection="1">
      <alignment horizontal="center"/>
    </xf>
    <xf numFmtId="2" fontId="4" fillId="9" borderId="42" xfId="0" applyNumberFormat="1" applyFont="1" applyFill="1" applyBorder="1" applyAlignment="1" applyProtection="1">
      <alignment horizontal="left"/>
    </xf>
    <xf numFmtId="0" fontId="5" fillId="9" borderId="43" xfId="0" applyFont="1" applyFill="1" applyBorder="1" applyAlignment="1" applyProtection="1">
      <alignment horizontal="center" vertical="center"/>
    </xf>
    <xf numFmtId="0" fontId="5" fillId="9" borderId="10" xfId="0" applyFont="1" applyFill="1" applyBorder="1" applyAlignment="1" applyProtection="1">
      <alignment horizontal="center" vertical="center"/>
    </xf>
    <xf numFmtId="2" fontId="5" fillId="9" borderId="10" xfId="0" applyNumberFormat="1" applyFont="1" applyFill="1" applyBorder="1" applyAlignment="1" applyProtection="1">
      <alignment horizontal="center" vertical="center"/>
    </xf>
    <xf numFmtId="174" fontId="5" fillId="9" borderId="10" xfId="0" applyNumberFormat="1" applyFont="1" applyFill="1" applyBorder="1" applyAlignment="1" applyProtection="1">
      <alignment horizontal="center" vertical="center"/>
    </xf>
    <xf numFmtId="0" fontId="65" fillId="0" borderId="32" xfId="0" applyFont="1" applyBorder="1" applyAlignment="1" applyProtection="1">
      <alignment vertical="center"/>
    </xf>
    <xf numFmtId="0" fontId="65" fillId="0" borderId="29" xfId="0" applyFont="1" applyBorder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0" fontId="13" fillId="0" borderId="29" xfId="0" applyFont="1" applyBorder="1" applyAlignment="1" applyProtection="1">
      <alignment vertical="center"/>
    </xf>
    <xf numFmtId="2" fontId="13" fillId="0" borderId="0" xfId="0" applyNumberFormat="1" applyFont="1" applyAlignment="1" applyProtection="1">
      <alignment horizontal="right" vertical="center"/>
    </xf>
    <xf numFmtId="0" fontId="65" fillId="0" borderId="0" xfId="0" applyFont="1" applyBorder="1" applyAlignment="1" applyProtection="1">
      <alignment vertical="center"/>
    </xf>
    <xf numFmtId="0" fontId="65" fillId="0" borderId="0" xfId="0" applyFont="1" applyProtection="1"/>
    <xf numFmtId="0" fontId="65" fillId="0" borderId="36" xfId="0" applyFont="1" applyBorder="1" applyAlignment="1" applyProtection="1">
      <alignment vertical="center"/>
    </xf>
    <xf numFmtId="0" fontId="65" fillId="0" borderId="0" xfId="0" applyFont="1" applyAlignment="1" applyProtection="1">
      <alignment horizontal="center"/>
    </xf>
    <xf numFmtId="173" fontId="12" fillId="0" borderId="0" xfId="5" applyNumberFormat="1" applyFont="1" applyBorder="1" applyProtection="1"/>
    <xf numFmtId="1" fontId="13" fillId="0" borderId="0" xfId="0" applyNumberFormat="1" applyFont="1" applyBorder="1" applyAlignment="1" applyProtection="1">
      <alignment horizontal="center"/>
    </xf>
    <xf numFmtId="44" fontId="13" fillId="0" borderId="0" xfId="0" applyNumberFormat="1" applyFont="1" applyBorder="1" applyProtection="1"/>
    <xf numFmtId="165" fontId="13" fillId="0" borderId="0" xfId="0" applyNumberFormat="1" applyFont="1" applyBorder="1" applyProtection="1"/>
    <xf numFmtId="165" fontId="13" fillId="0" borderId="0" xfId="0" applyNumberFormat="1" applyFont="1" applyProtection="1"/>
    <xf numFmtId="173" fontId="12" fillId="0" borderId="0" xfId="5" applyNumberFormat="1" applyFont="1" applyBorder="1" applyAlignment="1" applyProtection="1">
      <alignment horizontal="left"/>
    </xf>
    <xf numFmtId="0" fontId="4" fillId="17" borderId="2" xfId="0" applyFont="1" applyFill="1" applyBorder="1" applyAlignment="1" applyProtection="1">
      <alignment horizontal="right"/>
      <protection locked="0"/>
    </xf>
    <xf numFmtId="9" fontId="4" fillId="17" borderId="2" xfId="0" applyNumberFormat="1" applyFont="1" applyFill="1" applyBorder="1" applyAlignment="1" applyProtection="1">
      <alignment horizontal="right"/>
      <protection locked="0"/>
    </xf>
    <xf numFmtId="9" fontId="4" fillId="17" borderId="2" xfId="2" applyFont="1" applyFill="1" applyBorder="1" applyAlignment="1" applyProtection="1">
      <alignment horizontal="right"/>
      <protection locked="0"/>
    </xf>
    <xf numFmtId="0" fontId="5" fillId="17" borderId="44" xfId="0" applyFont="1" applyFill="1" applyBorder="1" applyAlignment="1" applyProtection="1">
      <alignment horizontal="center"/>
      <protection locked="0"/>
    </xf>
    <xf numFmtId="168" fontId="5" fillId="17" borderId="44" xfId="0" applyNumberFormat="1" applyFont="1" applyFill="1" applyBorder="1" applyAlignment="1" applyProtection="1">
      <alignment horizontal="center"/>
      <protection locked="0"/>
    </xf>
    <xf numFmtId="0" fontId="13" fillId="8" borderId="0" xfId="0" applyFont="1" applyFill="1" applyProtection="1"/>
    <xf numFmtId="0" fontId="38" fillId="8" borderId="0" xfId="0" applyFont="1" applyFill="1" applyAlignment="1" applyProtection="1">
      <alignment horizontal="center" vertical="center"/>
    </xf>
    <xf numFmtId="170" fontId="86" fillId="3" borderId="0" xfId="0" applyNumberFormat="1" applyFont="1" applyFill="1" applyAlignment="1" applyProtection="1">
      <alignment horizontal="left"/>
    </xf>
    <xf numFmtId="0" fontId="86" fillId="3" borderId="0" xfId="0" applyFont="1" applyFill="1" applyAlignment="1" applyProtection="1">
      <alignment horizontal="left"/>
    </xf>
    <xf numFmtId="170" fontId="86" fillId="3" borderId="0" xfId="0" applyNumberFormat="1" applyFont="1" applyFill="1" applyAlignment="1" applyProtection="1">
      <alignment horizontal="left" wrapText="1"/>
    </xf>
    <xf numFmtId="49" fontId="86" fillId="3" borderId="0" xfId="0" applyNumberFormat="1" applyFont="1" applyFill="1" applyAlignment="1" applyProtection="1">
      <alignment horizontal="left" wrapText="1"/>
    </xf>
    <xf numFmtId="170" fontId="60" fillId="3" borderId="0" xfId="0" applyNumberFormat="1" applyFont="1" applyFill="1" applyAlignment="1" applyProtection="1">
      <alignment horizontal="left" wrapText="1"/>
    </xf>
    <xf numFmtId="171" fontId="60" fillId="3" borderId="0" xfId="0" applyNumberFormat="1" applyFont="1" applyFill="1" applyAlignment="1" applyProtection="1">
      <alignment horizontal="left" wrapText="1"/>
    </xf>
    <xf numFmtId="170" fontId="27" fillId="0" borderId="0" xfId="0" applyNumberFormat="1" applyFont="1" applyFill="1" applyAlignment="1" applyProtection="1">
      <alignment horizontal="left"/>
    </xf>
    <xf numFmtId="0" fontId="27" fillId="0" borderId="0" xfId="0" applyFont="1" applyFill="1" applyAlignment="1" applyProtection="1">
      <alignment horizontal="left"/>
    </xf>
    <xf numFmtId="169" fontId="27" fillId="0" borderId="0" xfId="0" applyNumberFormat="1" applyFont="1" applyFill="1" applyAlignment="1" applyProtection="1">
      <alignment horizontal="left"/>
    </xf>
    <xf numFmtId="0" fontId="8" fillId="14" borderId="0" xfId="0" applyFont="1" applyFill="1" applyBorder="1" applyAlignment="1" applyProtection="1">
      <alignment vertical="center"/>
    </xf>
    <xf numFmtId="0" fontId="17" fillId="14" borderId="0" xfId="0" applyFont="1" applyFill="1" applyBorder="1" applyAlignment="1" applyProtection="1">
      <alignment vertical="center"/>
    </xf>
    <xf numFmtId="0" fontId="17" fillId="14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8" borderId="0" xfId="0" applyFont="1" applyFill="1" applyBorder="1" applyAlignment="1" applyProtection="1">
      <alignment vertical="center"/>
    </xf>
    <xf numFmtId="0" fontId="12" fillId="0" borderId="10" xfId="0" applyFont="1" applyFill="1" applyBorder="1" applyAlignment="1" applyProtection="1">
      <alignment horizontal="left" vertical="center"/>
    </xf>
    <xf numFmtId="14" fontId="4" fillId="0" borderId="3" xfId="0" applyNumberFormat="1" applyFont="1" applyFill="1" applyBorder="1" applyAlignment="1" applyProtection="1">
      <alignment horizontal="left" vertical="center"/>
    </xf>
    <xf numFmtId="0" fontId="4" fillId="0" borderId="3" xfId="0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/>
    </xf>
    <xf numFmtId="0" fontId="4" fillId="0" borderId="2" xfId="0" applyFont="1" applyFill="1" applyBorder="1" applyAlignment="1" applyProtection="1">
      <alignment horizontal="left" vertical="center"/>
    </xf>
    <xf numFmtId="169" fontId="4" fillId="0" borderId="2" xfId="0" applyNumberFormat="1" applyFont="1" applyFill="1" applyBorder="1" applyAlignment="1" applyProtection="1">
      <alignment horizontal="left" vertical="center"/>
    </xf>
    <xf numFmtId="0" fontId="46" fillId="0" borderId="2" xfId="0" applyFont="1" applyFill="1" applyBorder="1" applyAlignment="1" applyProtection="1">
      <alignment vertical="center"/>
    </xf>
    <xf numFmtId="49" fontId="4" fillId="0" borderId="44" xfId="0" applyNumberFormat="1" applyFont="1" applyFill="1" applyBorder="1" applyAlignment="1" applyProtection="1">
      <alignment vertical="center"/>
    </xf>
    <xf numFmtId="0" fontId="16" fillId="0" borderId="2" xfId="0" applyFont="1" applyFill="1" applyBorder="1" applyAlignment="1" applyProtection="1">
      <alignment vertical="center"/>
    </xf>
    <xf numFmtId="0" fontId="48" fillId="0" borderId="2" xfId="0" applyFont="1" applyFill="1" applyBorder="1" applyAlignment="1" applyProtection="1">
      <alignment horizontal="center" vertical="center"/>
    </xf>
    <xf numFmtId="0" fontId="27" fillId="0" borderId="2" xfId="0" applyFont="1" applyFill="1" applyBorder="1" applyAlignment="1" applyProtection="1">
      <alignment vertical="center" wrapText="1"/>
    </xf>
    <xf numFmtId="0" fontId="16" fillId="0" borderId="5" xfId="0" applyFont="1" applyFill="1" applyBorder="1" applyAlignment="1" applyProtection="1">
      <alignment vertical="center"/>
    </xf>
    <xf numFmtId="1" fontId="4" fillId="0" borderId="2" xfId="0" applyNumberFormat="1" applyFont="1" applyFill="1" applyBorder="1" applyAlignment="1" applyProtection="1">
      <alignment horizontal="center" vertical="center"/>
    </xf>
    <xf numFmtId="170" fontId="4" fillId="0" borderId="2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8" borderId="3" xfId="0" applyFont="1" applyFill="1" applyBorder="1" applyAlignment="1" applyProtection="1">
      <alignment vertical="center"/>
    </xf>
    <xf numFmtId="0" fontId="4" fillId="0" borderId="2" xfId="0" applyFont="1" applyFill="1" applyBorder="1" applyAlignment="1" applyProtection="1">
      <alignment vertical="center"/>
    </xf>
    <xf numFmtId="0" fontId="13" fillId="8" borderId="2" xfId="0" applyFont="1" applyFill="1" applyBorder="1" applyProtection="1"/>
    <xf numFmtId="0" fontId="13" fillId="8" borderId="0" xfId="0" applyFont="1" applyFill="1" applyAlignment="1" applyProtection="1">
      <alignment horizontal="left"/>
    </xf>
    <xf numFmtId="0" fontId="14" fillId="9" borderId="0" xfId="0" applyFont="1" applyFill="1" applyAlignment="1" applyProtection="1">
      <alignment vertical="center"/>
    </xf>
    <xf numFmtId="0" fontId="2" fillId="9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0" fontId="12" fillId="0" borderId="0" xfId="0" applyFont="1" applyBorder="1" applyAlignment="1" applyProtection="1">
      <alignment horizontal="left" vertical="top"/>
    </xf>
    <xf numFmtId="0" fontId="36" fillId="8" borderId="10" xfId="0" applyFont="1" applyFill="1" applyBorder="1" applyAlignment="1" applyProtection="1">
      <alignment horizontal="left"/>
    </xf>
    <xf numFmtId="0" fontId="36" fillId="8" borderId="11" xfId="0" applyFont="1" applyFill="1" applyBorder="1" applyAlignment="1" applyProtection="1">
      <alignment horizontal="left"/>
    </xf>
    <xf numFmtId="0" fontId="4" fillId="8" borderId="0" xfId="0" applyFont="1" applyFill="1" applyProtection="1"/>
    <xf numFmtId="0" fontId="4" fillId="8" borderId="0" xfId="0" applyFont="1" applyFill="1" applyAlignment="1" applyProtection="1">
      <alignment horizontal="left"/>
    </xf>
    <xf numFmtId="0" fontId="4" fillId="8" borderId="3" xfId="0" applyFont="1" applyFill="1" applyBorder="1" applyAlignment="1" applyProtection="1">
      <alignment horizontal="left"/>
    </xf>
    <xf numFmtId="0" fontId="4" fillId="8" borderId="14" xfId="0" applyFont="1" applyFill="1" applyBorder="1" applyAlignment="1" applyProtection="1">
      <alignment horizontal="left"/>
    </xf>
    <xf numFmtId="0" fontId="4" fillId="8" borderId="0" xfId="0" applyFont="1" applyFill="1" applyBorder="1" applyAlignment="1" applyProtection="1">
      <alignment horizontal="left"/>
    </xf>
    <xf numFmtId="0" fontId="4" fillId="8" borderId="0" xfId="0" applyFont="1" applyFill="1" applyBorder="1" applyAlignment="1" applyProtection="1">
      <alignment horizontal="center"/>
    </xf>
    <xf numFmtId="0" fontId="4" fillId="8" borderId="0" xfId="0" applyFont="1" applyFill="1" applyBorder="1" applyProtection="1"/>
    <xf numFmtId="0" fontId="8" fillId="6" borderId="3" xfId="0" applyFont="1" applyFill="1" applyBorder="1" applyAlignment="1" applyProtection="1">
      <alignment vertical="center"/>
    </xf>
    <xf numFmtId="0" fontId="28" fillId="6" borderId="3" xfId="0" applyFont="1" applyFill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right"/>
    </xf>
    <xf numFmtId="42" fontId="12" fillId="0" borderId="0" xfId="0" applyNumberFormat="1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vertical="center"/>
    </xf>
    <xf numFmtId="0" fontId="13" fillId="8" borderId="0" xfId="0" applyFont="1" applyFill="1" applyBorder="1" applyAlignment="1" applyProtection="1">
      <alignment horizontal="left"/>
    </xf>
    <xf numFmtId="0" fontId="13" fillId="8" borderId="0" xfId="0" applyFont="1" applyFill="1" applyBorder="1" applyProtection="1"/>
    <xf numFmtId="0" fontId="22" fillId="0" borderId="2" xfId="0" applyFont="1" applyBorder="1" applyAlignment="1" applyProtection="1">
      <alignment vertical="center"/>
    </xf>
    <xf numFmtId="0" fontId="22" fillId="0" borderId="2" xfId="4" applyFont="1" applyBorder="1" applyAlignment="1" applyProtection="1">
      <alignment vertical="center"/>
    </xf>
    <xf numFmtId="0" fontId="22" fillId="0" borderId="2" xfId="3" applyFont="1" applyBorder="1" applyAlignment="1" applyProtection="1">
      <alignment vertical="center"/>
    </xf>
    <xf numFmtId="2" fontId="22" fillId="0" borderId="2" xfId="4" applyNumberFormat="1" applyFont="1" applyBorder="1" applyAlignment="1" applyProtection="1">
      <alignment horizontal="left" vertical="center"/>
    </xf>
    <xf numFmtId="175" fontId="3" fillId="0" borderId="2" xfId="0" applyNumberFormat="1" applyFont="1" applyFill="1" applyBorder="1" applyAlignment="1" applyProtection="1">
      <alignment horizontal="right"/>
    </xf>
    <xf numFmtId="175" fontId="12" fillId="0" borderId="0" xfId="0" applyNumberFormat="1" applyFont="1" applyFill="1" applyBorder="1" applyAlignment="1" applyProtection="1"/>
    <xf numFmtId="0" fontId="11" fillId="0" borderId="0" xfId="0" applyFont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4" fillId="17" borderId="3" xfId="0" applyFont="1" applyFill="1" applyBorder="1" applyAlignment="1" applyProtection="1">
      <alignment vertical="center"/>
      <protection locked="0"/>
    </xf>
    <xf numFmtId="0" fontId="4" fillId="17" borderId="2" xfId="0" applyFont="1" applyFill="1" applyBorder="1" applyAlignment="1" applyProtection="1">
      <alignment vertical="center"/>
      <protection locked="0"/>
    </xf>
    <xf numFmtId="0" fontId="13" fillId="17" borderId="2" xfId="0" applyFont="1" applyFill="1" applyBorder="1" applyProtection="1">
      <protection locked="0"/>
    </xf>
    <xf numFmtId="0" fontId="4" fillId="0" borderId="0" xfId="0" applyFont="1" applyAlignment="1" applyProtection="1">
      <alignment horizontal="right"/>
    </xf>
    <xf numFmtId="0" fontId="15" fillId="4" borderId="40" xfId="0" applyFont="1" applyFill="1" applyBorder="1" applyAlignment="1" applyProtection="1">
      <alignment horizontal="right" vertical="center"/>
    </xf>
    <xf numFmtId="0" fontId="15" fillId="4" borderId="33" xfId="0" applyFont="1" applyFill="1" applyBorder="1" applyAlignment="1" applyProtection="1">
      <alignment horizontal="right" vertical="center"/>
    </xf>
    <xf numFmtId="0" fontId="25" fillId="17" borderId="3" xfId="0" applyFont="1" applyFill="1" applyBorder="1" applyAlignment="1" applyProtection="1">
      <alignment horizontal="right" vertical="center"/>
      <protection locked="0"/>
    </xf>
    <xf numFmtId="0" fontId="25" fillId="17" borderId="2" xfId="0" applyFont="1" applyFill="1" applyBorder="1" applyAlignment="1" applyProtection="1">
      <alignment horizontal="right" vertical="center"/>
      <protection locked="0"/>
    </xf>
    <xf numFmtId="175" fontId="15" fillId="18" borderId="29" xfId="0" applyNumberFormat="1" applyFont="1" applyFill="1" applyBorder="1" applyAlignment="1" applyProtection="1">
      <alignment vertical="center"/>
    </xf>
    <xf numFmtId="44" fontId="15" fillId="18" borderId="29" xfId="0" applyNumberFormat="1" applyFont="1" applyFill="1" applyBorder="1" applyAlignment="1" applyProtection="1">
      <alignment vertical="center"/>
    </xf>
    <xf numFmtId="0" fontId="87" fillId="0" borderId="31" xfId="0" applyFont="1" applyBorder="1" applyAlignment="1" applyProtection="1">
      <alignment vertical="center"/>
    </xf>
    <xf numFmtId="0" fontId="87" fillId="0" borderId="34" xfId="0" applyFont="1" applyBorder="1" applyAlignment="1" applyProtection="1">
      <alignment vertical="center"/>
    </xf>
    <xf numFmtId="0" fontId="25" fillId="0" borderId="34" xfId="0" applyFont="1" applyBorder="1" applyAlignment="1" applyProtection="1">
      <alignment vertical="center"/>
    </xf>
    <xf numFmtId="0" fontId="25" fillId="0" borderId="34" xfId="0" applyFont="1" applyBorder="1" applyProtection="1"/>
    <xf numFmtId="0" fontId="87" fillId="0" borderId="35" xfId="0" applyFont="1" applyBorder="1" applyAlignment="1" applyProtection="1">
      <alignment vertical="center"/>
    </xf>
    <xf numFmtId="0" fontId="87" fillId="0" borderId="34" xfId="0" applyFont="1" applyBorder="1" applyAlignment="1" applyProtection="1">
      <alignment horizontal="center" vertical="center"/>
    </xf>
    <xf numFmtId="0" fontId="87" fillId="0" borderId="0" xfId="0" applyFont="1" applyBorder="1" applyAlignment="1" applyProtection="1">
      <alignment horizontal="center" vertical="center"/>
    </xf>
    <xf numFmtId="0" fontId="87" fillId="0" borderId="29" xfId="0" applyFont="1" applyBorder="1" applyAlignment="1" applyProtection="1">
      <alignment vertical="center"/>
    </xf>
    <xf numFmtId="0" fontId="87" fillId="0" borderId="34" xfId="0" applyFont="1" applyBorder="1" applyAlignment="1" applyProtection="1">
      <alignment horizontal="center"/>
    </xf>
    <xf numFmtId="0" fontId="87" fillId="0" borderId="29" xfId="0" applyFont="1" applyBorder="1" applyProtection="1"/>
    <xf numFmtId="0" fontId="87" fillId="0" borderId="0" xfId="0" applyFont="1" applyBorder="1" applyAlignment="1" applyProtection="1">
      <alignment horizontal="center"/>
    </xf>
    <xf numFmtId="0" fontId="87" fillId="0" borderId="34" xfId="0" applyFont="1" applyBorder="1" applyProtection="1"/>
    <xf numFmtId="0" fontId="87" fillId="0" borderId="35" xfId="0" applyFont="1" applyBorder="1" applyAlignment="1" applyProtection="1">
      <alignment horizontal="center"/>
    </xf>
    <xf numFmtId="0" fontId="87" fillId="0" borderId="8" xfId="0" applyFont="1" applyBorder="1" applyAlignment="1" applyProtection="1">
      <alignment horizontal="center"/>
    </xf>
    <xf numFmtId="0" fontId="87" fillId="0" borderId="36" xfId="0" applyFont="1" applyBorder="1" applyProtection="1"/>
    <xf numFmtId="44" fontId="88" fillId="0" borderId="4" xfId="1" applyNumberFormat="1" applyFont="1" applyFill="1" applyBorder="1" applyAlignment="1">
      <alignment horizontal="center" vertical="center"/>
    </xf>
    <xf numFmtId="181" fontId="88" fillId="0" borderId="47" xfId="1" applyNumberFormat="1" applyFont="1" applyFill="1" applyBorder="1" applyAlignment="1">
      <alignment horizontal="center" vertical="center"/>
    </xf>
    <xf numFmtId="0" fontId="0" fillId="0" borderId="4" xfId="0" applyBorder="1"/>
    <xf numFmtId="0" fontId="91" fillId="0" borderId="4" xfId="0" applyFont="1" applyBorder="1" applyAlignment="1">
      <alignment horizontal="center"/>
    </xf>
    <xf numFmtId="44" fontId="88" fillId="0" borderId="48" xfId="1" applyNumberFormat="1" applyFont="1" applyFill="1" applyBorder="1" applyAlignment="1">
      <alignment vertical="center"/>
    </xf>
    <xf numFmtId="0" fontId="91" fillId="0" borderId="44" xfId="0" applyFont="1" applyBorder="1" applyAlignment="1">
      <alignment horizontal="center"/>
    </xf>
    <xf numFmtId="0" fontId="0" fillId="21" borderId="4" xfId="0" applyFill="1" applyBorder="1" applyAlignment="1">
      <alignment horizontal="center"/>
    </xf>
    <xf numFmtId="44" fontId="88" fillId="21" borderId="48" xfId="1" applyNumberFormat="1" applyFont="1" applyFill="1" applyBorder="1" applyAlignment="1">
      <alignment vertical="center"/>
    </xf>
    <xf numFmtId="0" fontId="0" fillId="21" borderId="44" xfId="0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0" fillId="21" borderId="0" xfId="0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27" fillId="12" borderId="0" xfId="0" applyFont="1" applyFill="1" applyBorder="1" applyAlignment="1">
      <alignment horizontal="left"/>
    </xf>
    <xf numFmtId="180" fontId="88" fillId="0" borderId="0" xfId="1" applyFont="1" applyFill="1" applyBorder="1" applyAlignment="1">
      <alignment horizontal="left" vertical="center"/>
    </xf>
    <xf numFmtId="0" fontId="90" fillId="0" borderId="0" xfId="6" applyFont="1" applyBorder="1" applyAlignment="1">
      <alignment horizontal="left"/>
    </xf>
    <xf numFmtId="0" fontId="9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9" fillId="0" borderId="0" xfId="6" applyBorder="1" applyAlignment="1">
      <alignment horizontal="left"/>
    </xf>
    <xf numFmtId="0" fontId="0" fillId="21" borderId="0" xfId="0" applyFill="1" applyBorder="1" applyAlignment="1">
      <alignment horizontal="left"/>
    </xf>
    <xf numFmtId="0" fontId="90" fillId="21" borderId="0" xfId="6" applyFont="1" applyFill="1" applyBorder="1" applyAlignment="1">
      <alignment horizontal="left"/>
    </xf>
    <xf numFmtId="0" fontId="93" fillId="0" borderId="0" xfId="0" applyFont="1" applyBorder="1" applyAlignment="1">
      <alignment horizontal="center"/>
    </xf>
    <xf numFmtId="0" fontId="93" fillId="0" borderId="0" xfId="0" applyFont="1" applyFill="1" applyBorder="1" applyAlignment="1">
      <alignment horizontal="center"/>
    </xf>
    <xf numFmtId="0" fontId="94" fillId="0" borderId="0" xfId="0" applyFont="1" applyBorder="1"/>
    <xf numFmtId="0" fontId="27" fillId="12" borderId="0" xfId="0" applyFont="1" applyFill="1" applyBorder="1" applyAlignment="1">
      <alignment horizontal="center"/>
    </xf>
    <xf numFmtId="44" fontId="88" fillId="21" borderId="4" xfId="1" applyNumberFormat="1" applyFont="1" applyFill="1" applyBorder="1" applyAlignment="1">
      <alignment horizontal="center" vertical="center"/>
    </xf>
    <xf numFmtId="0" fontId="0" fillId="21" borderId="4" xfId="0" applyFill="1" applyBorder="1"/>
    <xf numFmtId="0" fontId="4" fillId="0" borderId="9" xfId="0" applyFont="1" applyBorder="1" applyAlignment="1">
      <alignment horizontal="left"/>
    </xf>
    <xf numFmtId="2" fontId="4" fillId="12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3" fontId="0" fillId="0" borderId="4" xfId="0" applyNumberFormat="1" applyBorder="1" applyAlignment="1">
      <alignment horizontal="left"/>
    </xf>
    <xf numFmtId="44" fontId="88" fillId="0" borderId="48" xfId="1" applyNumberFormat="1" applyFont="1" applyFill="1" applyBorder="1" applyAlignment="1">
      <alignment horizontal="left" vertical="center"/>
    </xf>
    <xf numFmtId="44" fontId="88" fillId="0" borderId="4" xfId="1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1" fillId="0" borderId="4" xfId="0" applyFont="1" applyBorder="1" applyAlignment="1">
      <alignment horizontal="left"/>
    </xf>
    <xf numFmtId="0" fontId="0" fillId="21" borderId="4" xfId="0" applyFill="1" applyBorder="1" applyAlignment="1">
      <alignment horizontal="left"/>
    </xf>
    <xf numFmtId="0" fontId="0" fillId="0" borderId="44" xfId="0" applyBorder="1" applyAlignment="1">
      <alignment horizontal="center"/>
    </xf>
    <xf numFmtId="44" fontId="88" fillId="21" borderId="0" xfId="1" applyNumberFormat="1" applyFont="1" applyFill="1" applyBorder="1" applyAlignment="1">
      <alignment vertical="center"/>
    </xf>
    <xf numFmtId="44" fontId="88" fillId="21" borderId="0" xfId="1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21" borderId="46" xfId="0" applyFill="1" applyBorder="1" applyAlignment="1">
      <alignment horizontal="center"/>
    </xf>
    <xf numFmtId="49" fontId="0" fillId="21" borderId="46" xfId="0" applyNumberFormat="1" applyFill="1" applyBorder="1" applyAlignment="1">
      <alignment horizontal="center"/>
    </xf>
    <xf numFmtId="0" fontId="92" fillId="21" borderId="46" xfId="0" applyFont="1" applyFill="1" applyBorder="1" applyAlignment="1">
      <alignment horizontal="center"/>
    </xf>
    <xf numFmtId="44" fontId="88" fillId="21" borderId="45" xfId="1" applyNumberFormat="1" applyFont="1" applyFill="1" applyBorder="1" applyAlignment="1">
      <alignment vertical="center"/>
    </xf>
    <xf numFmtId="44" fontId="88" fillId="21" borderId="46" xfId="1" applyNumberFormat="1" applyFont="1" applyFill="1" applyBorder="1" applyAlignment="1">
      <alignment horizontal="center" vertical="center"/>
    </xf>
    <xf numFmtId="0" fontId="0" fillId="21" borderId="46" xfId="0" applyFill="1" applyBorder="1"/>
    <xf numFmtId="0" fontId="0" fillId="0" borderId="5" xfId="0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0" fontId="92" fillId="21" borderId="2" xfId="0" applyFont="1" applyFill="1" applyBorder="1" applyAlignment="1">
      <alignment horizontal="center"/>
    </xf>
    <xf numFmtId="44" fontId="88" fillId="21" borderId="2" xfId="1" applyNumberFormat="1" applyFont="1" applyFill="1" applyBorder="1" applyAlignment="1">
      <alignment vertical="center"/>
    </xf>
    <xf numFmtId="44" fontId="88" fillId="21" borderId="2" xfId="1" applyNumberFormat="1" applyFont="1" applyFill="1" applyBorder="1" applyAlignment="1">
      <alignment horizontal="center" vertical="center"/>
    </xf>
    <xf numFmtId="0" fontId="0" fillId="21" borderId="44" xfId="0" applyFill="1" applyBorder="1"/>
    <xf numFmtId="0" fontId="0" fillId="0" borderId="6" xfId="0" applyBorder="1" applyAlignment="1">
      <alignment horizontal="center" vertical="center"/>
    </xf>
    <xf numFmtId="0" fontId="0" fillId="21" borderId="6" xfId="0" applyFill="1" applyBorder="1" applyAlignment="1">
      <alignment horizontal="center"/>
    </xf>
    <xf numFmtId="49" fontId="0" fillId="21" borderId="6" xfId="0" applyNumberFormat="1" applyFill="1" applyBorder="1" applyAlignment="1">
      <alignment horizontal="center"/>
    </xf>
    <xf numFmtId="0" fontId="92" fillId="21" borderId="6" xfId="0" applyFont="1" applyFill="1" applyBorder="1" applyAlignment="1">
      <alignment horizontal="center"/>
    </xf>
    <xf numFmtId="44" fontId="88" fillId="21" borderId="49" xfId="1" applyNumberFormat="1" applyFont="1" applyFill="1" applyBorder="1" applyAlignment="1">
      <alignment vertical="center"/>
    </xf>
    <xf numFmtId="44" fontId="88" fillId="21" borderId="6" xfId="1" applyNumberFormat="1" applyFont="1" applyFill="1" applyBorder="1" applyAlignment="1">
      <alignment horizontal="center" vertical="center"/>
    </xf>
    <xf numFmtId="0" fontId="0" fillId="21" borderId="6" xfId="0" applyFill="1" applyBorder="1"/>
    <xf numFmtId="49" fontId="0" fillId="21" borderId="4" xfId="0" applyNumberForma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right" wrapText="1"/>
    </xf>
    <xf numFmtId="0" fontId="4" fillId="0" borderId="0" xfId="0" applyFont="1" applyBorder="1" applyProtection="1"/>
    <xf numFmtId="0" fontId="4" fillId="0" borderId="0" xfId="0" applyFont="1" applyBorder="1" applyAlignment="1" applyProtection="1"/>
    <xf numFmtId="0" fontId="15" fillId="17" borderId="51" xfId="0" applyFont="1" applyFill="1" applyBorder="1" applyAlignment="1" applyProtection="1">
      <alignment vertical="center"/>
      <protection locked="0"/>
    </xf>
    <xf numFmtId="0" fontId="4" fillId="9" borderId="50" xfId="0" applyFont="1" applyFill="1" applyBorder="1" applyAlignment="1" applyProtection="1">
      <alignment vertical="center"/>
    </xf>
    <xf numFmtId="1" fontId="4" fillId="0" borderId="0" xfId="0" applyNumberFormat="1" applyFont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"/>
    </xf>
    <xf numFmtId="3" fontId="4" fillId="0" borderId="0" xfId="0" applyNumberFormat="1" applyFont="1" applyAlignment="1" applyProtection="1">
      <alignment horizontal="center"/>
    </xf>
    <xf numFmtId="173" fontId="4" fillId="0" borderId="0" xfId="5" applyNumberFormat="1" applyFont="1" applyProtection="1"/>
    <xf numFmtId="1" fontId="4" fillId="0" borderId="0" xfId="0" applyNumberFormat="1" applyFont="1" applyAlignment="1" applyProtection="1">
      <alignment horizontal="center"/>
    </xf>
    <xf numFmtId="173" fontId="4" fillId="0" borderId="0" xfId="5" applyNumberFormat="1" applyFont="1" applyBorder="1" applyProtection="1"/>
    <xf numFmtId="0" fontId="5" fillId="0" borderId="61" xfId="0" applyFont="1" applyBorder="1" applyAlignment="1" applyProtection="1">
      <alignment horizontal="left" vertical="top"/>
    </xf>
    <xf numFmtId="0" fontId="2" fillId="0" borderId="61" xfId="0" applyFont="1" applyBorder="1" applyAlignment="1" applyProtection="1">
      <alignment horizontal="left" vertical="top"/>
    </xf>
    <xf numFmtId="0" fontId="2" fillId="0" borderId="63" xfId="0" applyFont="1" applyBorder="1" applyAlignment="1" applyProtection="1">
      <alignment horizontal="left" vertical="top"/>
    </xf>
    <xf numFmtId="0" fontId="4" fillId="9" borderId="51" xfId="0" applyFont="1" applyFill="1" applyBorder="1" applyAlignment="1" applyProtection="1">
      <alignment horizontal="left" vertical="center"/>
    </xf>
    <xf numFmtId="0" fontId="4" fillId="8" borderId="24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left"/>
    </xf>
    <xf numFmtId="0" fontId="1" fillId="0" borderId="0" xfId="7"/>
    <xf numFmtId="0" fontId="2" fillId="0" borderId="64" xfId="0" applyFont="1" applyBorder="1" applyAlignment="1" applyProtection="1">
      <alignment vertical="top"/>
    </xf>
    <xf numFmtId="0" fontId="27" fillId="0" borderId="62" xfId="0" applyFont="1" applyBorder="1" applyAlignment="1" applyProtection="1">
      <alignment horizontal="left" vertical="top"/>
    </xf>
    <xf numFmtId="0" fontId="27" fillId="0" borderId="63" xfId="0" applyFont="1" applyBorder="1" applyAlignment="1" applyProtection="1">
      <alignment horizontal="left" vertical="top"/>
    </xf>
    <xf numFmtId="0" fontId="0" fillId="0" borderId="0" xfId="0" applyFill="1" applyBorder="1" applyAlignment="1">
      <alignment vertical="center"/>
    </xf>
    <xf numFmtId="0" fontId="5" fillId="0" borderId="0" xfId="0" applyFont="1" applyFill="1" applyBorder="1" applyAlignment="1" applyProtection="1">
      <alignment horizontal="left" vertical="top"/>
    </xf>
    <xf numFmtId="0" fontId="27" fillId="0" borderId="0" xfId="0" applyFont="1" applyFill="1" applyBorder="1" applyAlignment="1" applyProtection="1"/>
    <xf numFmtId="0" fontId="27" fillId="0" borderId="0" xfId="0" applyFont="1" applyFill="1" applyBorder="1" applyAlignment="1" applyProtection="1">
      <alignment horizontal="left" vertical="top"/>
    </xf>
    <xf numFmtId="0" fontId="13" fillId="14" borderId="82" xfId="0" applyFont="1" applyFill="1" applyBorder="1" applyAlignment="1">
      <alignment horizontal="left" vertical="center"/>
    </xf>
    <xf numFmtId="0" fontId="15" fillId="17" borderId="60" xfId="0" applyFont="1" applyFill="1" applyBorder="1" applyAlignment="1" applyProtection="1">
      <alignment horizontal="left" vertical="center" wrapText="1"/>
      <protection locked="0"/>
    </xf>
    <xf numFmtId="0" fontId="27" fillId="8" borderId="64" xfId="0" applyFont="1" applyFill="1" applyBorder="1" applyAlignment="1" applyProtection="1">
      <alignment wrapText="1"/>
    </xf>
    <xf numFmtId="0" fontId="27" fillId="0" borderId="62" xfId="0" applyFont="1" applyBorder="1" applyAlignment="1" applyProtection="1">
      <alignment horizontal="left" vertical="top" wrapText="1"/>
    </xf>
    <xf numFmtId="0" fontId="96" fillId="0" borderId="23" xfId="0" applyFont="1" applyFill="1" applyBorder="1" applyAlignment="1">
      <alignment vertical="center"/>
    </xf>
    <xf numFmtId="0" fontId="96" fillId="0" borderId="0" xfId="0" applyFont="1" applyBorder="1" applyAlignment="1">
      <alignment vertical="center"/>
    </xf>
    <xf numFmtId="0" fontId="42" fillId="0" borderId="0" xfId="0" applyFont="1" applyAlignment="1"/>
    <xf numFmtId="0" fontId="2" fillId="0" borderId="0" xfId="0" applyFont="1"/>
    <xf numFmtId="14" fontId="0" fillId="0" borderId="0" xfId="0" applyNumberFormat="1"/>
    <xf numFmtId="49" fontId="2" fillId="0" borderId="0" xfId="0" applyNumberFormat="1" applyFont="1"/>
    <xf numFmtId="49" fontId="0" fillId="0" borderId="0" xfId="0" applyNumberFormat="1"/>
    <xf numFmtId="49" fontId="5" fillId="0" borderId="0" xfId="0" applyNumberFormat="1" applyFont="1"/>
    <xf numFmtId="0" fontId="84" fillId="0" borderId="31" xfId="0" applyFont="1" applyBorder="1" applyAlignment="1" applyProtection="1">
      <alignment horizontal="center" vertical="top"/>
    </xf>
    <xf numFmtId="0" fontId="84" fillId="0" borderId="39" xfId="0" applyFont="1" applyBorder="1" applyAlignment="1" applyProtection="1">
      <alignment horizontal="center" vertical="top"/>
    </xf>
    <xf numFmtId="0" fontId="84" fillId="0" borderId="32" xfId="0" applyFont="1" applyBorder="1" applyAlignment="1" applyProtection="1">
      <alignment horizontal="center" vertical="top"/>
    </xf>
    <xf numFmtId="0" fontId="4" fillId="0" borderId="25" xfId="0" applyFont="1" applyFill="1" applyBorder="1" applyAlignment="1" applyProtection="1">
      <alignment horizontal="left"/>
    </xf>
    <xf numFmtId="0" fontId="4" fillId="0" borderId="20" xfId="0" applyFont="1" applyFill="1" applyBorder="1" applyAlignment="1" applyProtection="1">
      <alignment horizontal="left"/>
    </xf>
    <xf numFmtId="0" fontId="4" fillId="17" borderId="7" xfId="0" applyFont="1" applyFill="1" applyBorder="1" applyAlignment="1" applyProtection="1">
      <alignment horizontal="right"/>
      <protection locked="0"/>
    </xf>
    <xf numFmtId="0" fontId="4" fillId="17" borderId="22" xfId="0" applyFont="1" applyFill="1" applyBorder="1" applyAlignment="1" applyProtection="1">
      <alignment horizontal="right"/>
      <protection locked="0"/>
    </xf>
    <xf numFmtId="0" fontId="6" fillId="9" borderId="31" xfId="0" applyFont="1" applyFill="1" applyBorder="1" applyAlignment="1" applyProtection="1">
      <alignment horizontal="center" vertical="center"/>
    </xf>
    <xf numFmtId="0" fontId="6" fillId="9" borderId="39" xfId="0" applyFont="1" applyFill="1" applyBorder="1" applyAlignment="1" applyProtection="1">
      <alignment horizontal="center" vertical="center"/>
    </xf>
    <xf numFmtId="0" fontId="6" fillId="9" borderId="32" xfId="0" applyFont="1" applyFill="1" applyBorder="1" applyAlignment="1" applyProtection="1">
      <alignment horizontal="center" vertical="center"/>
    </xf>
    <xf numFmtId="0" fontId="84" fillId="0" borderId="31" xfId="0" applyFont="1" applyBorder="1" applyAlignment="1" applyProtection="1">
      <alignment horizontal="center" vertical="top" wrapText="1"/>
    </xf>
    <xf numFmtId="0" fontId="84" fillId="0" borderId="32" xfId="0" applyFont="1" applyBorder="1" applyAlignment="1" applyProtection="1">
      <alignment horizontal="center" vertical="top" wrapText="1"/>
    </xf>
    <xf numFmtId="0" fontId="84" fillId="0" borderId="35" xfId="0" applyFont="1" applyBorder="1" applyAlignment="1" applyProtection="1">
      <alignment horizontal="center" vertical="top" wrapText="1"/>
    </xf>
    <xf numFmtId="0" fontId="84" fillId="0" borderId="36" xfId="0" applyFont="1" applyBorder="1" applyAlignment="1" applyProtection="1">
      <alignment horizontal="center" vertical="top" wrapText="1"/>
    </xf>
    <xf numFmtId="0" fontId="6" fillId="9" borderId="31" xfId="0" applyFont="1" applyFill="1" applyBorder="1" applyAlignment="1" applyProtection="1">
      <alignment horizontal="center" vertical="center" wrapText="1"/>
    </xf>
    <xf numFmtId="0" fontId="6" fillId="9" borderId="39" xfId="0" applyFont="1" applyFill="1" applyBorder="1" applyAlignment="1" applyProtection="1">
      <alignment horizontal="center" vertical="center" wrapText="1"/>
    </xf>
    <xf numFmtId="0" fontId="6" fillId="9" borderId="32" xfId="0" applyFont="1" applyFill="1" applyBorder="1" applyAlignment="1" applyProtection="1">
      <alignment horizontal="center" vertical="center" wrapText="1"/>
    </xf>
    <xf numFmtId="0" fontId="6" fillId="9" borderId="34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horizontal="left" vertical="center"/>
    </xf>
    <xf numFmtId="0" fontId="43" fillId="17" borderId="34" xfId="0" applyFont="1" applyFill="1" applyBorder="1" applyAlignment="1" applyProtection="1">
      <alignment horizontal="center"/>
    </xf>
    <xf numFmtId="0" fontId="43" fillId="17" borderId="35" xfId="0" applyFont="1" applyFill="1" applyBorder="1" applyAlignment="1" applyProtection="1">
      <alignment horizontal="center"/>
    </xf>
    <xf numFmtId="49" fontId="4" fillId="0" borderId="25" xfId="0" applyNumberFormat="1" applyFont="1" applyFill="1" applyBorder="1" applyAlignment="1" applyProtection="1">
      <alignment horizontal="right"/>
    </xf>
    <xf numFmtId="49" fontId="4" fillId="0" borderId="20" xfId="0" applyNumberFormat="1" applyFont="1" applyFill="1" applyBorder="1" applyAlignment="1" applyProtection="1">
      <alignment horizontal="right"/>
    </xf>
    <xf numFmtId="0" fontId="4" fillId="0" borderId="7" xfId="0" applyFont="1" applyFill="1" applyBorder="1" applyAlignment="1" applyProtection="1">
      <alignment horizontal="right"/>
    </xf>
    <xf numFmtId="0" fontId="4" fillId="0" borderId="22" xfId="0" applyFont="1" applyFill="1" applyBorder="1" applyAlignment="1" applyProtection="1">
      <alignment horizontal="right"/>
    </xf>
    <xf numFmtId="0" fontId="4" fillId="0" borderId="2" xfId="0" applyFont="1" applyFill="1" applyBorder="1" applyAlignment="1" applyProtection="1">
      <alignment horizontal="right"/>
    </xf>
    <xf numFmtId="0" fontId="4" fillId="0" borderId="21" xfId="0" applyFont="1" applyFill="1" applyBorder="1" applyAlignment="1" applyProtection="1">
      <alignment horizontal="right"/>
    </xf>
    <xf numFmtId="0" fontId="15" fillId="0" borderId="25" xfId="0" applyFont="1" applyFill="1" applyBorder="1" applyAlignment="1" applyProtection="1">
      <alignment horizontal="right"/>
    </xf>
    <xf numFmtId="0" fontId="15" fillId="0" borderId="20" xfId="0" applyFont="1" applyFill="1" applyBorder="1" applyAlignment="1" applyProtection="1">
      <alignment horizontal="right"/>
    </xf>
    <xf numFmtId="0" fontId="4" fillId="17" borderId="2" xfId="0" applyFont="1" applyFill="1" applyBorder="1" applyAlignment="1" applyProtection="1">
      <alignment horizontal="right"/>
      <protection locked="0"/>
    </xf>
    <xf numFmtId="0" fontId="4" fillId="17" borderId="21" xfId="0" applyFont="1" applyFill="1" applyBorder="1" applyAlignment="1" applyProtection="1">
      <alignment horizontal="right"/>
      <protection locked="0"/>
    </xf>
    <xf numFmtId="0" fontId="4" fillId="9" borderId="51" xfId="0" applyFont="1" applyFill="1" applyBorder="1" applyAlignment="1" applyProtection="1">
      <alignment horizontal="left" vertical="center"/>
    </xf>
    <xf numFmtId="0" fontId="4" fillId="9" borderId="53" xfId="0" applyFont="1" applyFill="1" applyBorder="1" applyAlignment="1" applyProtection="1">
      <alignment horizontal="left" vertical="center"/>
    </xf>
    <xf numFmtId="0" fontId="15" fillId="17" borderId="51" xfId="0" applyFont="1" applyFill="1" applyBorder="1" applyAlignment="1" applyProtection="1">
      <alignment horizontal="left" vertical="center" wrapText="1"/>
      <protection locked="0"/>
    </xf>
    <xf numFmtId="0" fontId="15" fillId="17" borderId="53" xfId="0" applyFont="1" applyFill="1" applyBorder="1" applyAlignment="1" applyProtection="1">
      <alignment horizontal="left" vertical="center" wrapText="1"/>
      <protection locked="0"/>
    </xf>
    <xf numFmtId="173" fontId="80" fillId="0" borderId="0" xfId="5" applyNumberFormat="1" applyFont="1" applyAlignment="1" applyProtection="1">
      <alignment horizontal="right" vertical="center"/>
    </xf>
    <xf numFmtId="173" fontId="80" fillId="0" borderId="29" xfId="5" applyNumberFormat="1" applyFont="1" applyBorder="1" applyAlignment="1" applyProtection="1">
      <alignment horizontal="right" vertical="center"/>
    </xf>
    <xf numFmtId="44" fontId="82" fillId="0" borderId="0" xfId="5" applyFont="1" applyAlignment="1" applyProtection="1">
      <alignment horizontal="right" vertical="center"/>
    </xf>
    <xf numFmtId="44" fontId="82" fillId="0" borderId="29" xfId="5" applyFont="1" applyBorder="1" applyAlignment="1" applyProtection="1">
      <alignment horizontal="right" vertical="center"/>
    </xf>
    <xf numFmtId="0" fontId="14" fillId="9" borderId="23" xfId="0" applyFont="1" applyFill="1" applyBorder="1" applyAlignment="1" applyProtection="1">
      <alignment vertical="center"/>
    </xf>
    <xf numFmtId="0" fontId="14" fillId="9" borderId="10" xfId="0" applyFont="1" applyFill="1" applyBorder="1" applyAlignment="1" applyProtection="1">
      <alignment vertical="center"/>
    </xf>
    <xf numFmtId="0" fontId="14" fillId="9" borderId="11" xfId="0" applyFont="1" applyFill="1" applyBorder="1" applyAlignment="1" applyProtection="1">
      <alignment vertical="center"/>
    </xf>
    <xf numFmtId="0" fontId="14" fillId="9" borderId="57" xfId="0" applyFont="1" applyFill="1" applyBorder="1" applyAlignment="1" applyProtection="1">
      <alignment vertical="center"/>
    </xf>
    <xf numFmtId="0" fontId="14" fillId="9" borderId="58" xfId="0" applyFont="1" applyFill="1" applyBorder="1" applyAlignment="1" applyProtection="1">
      <alignment vertical="center"/>
    </xf>
    <xf numFmtId="0" fontId="14" fillId="9" borderId="59" xfId="0" applyFont="1" applyFill="1" applyBorder="1" applyAlignment="1" applyProtection="1">
      <alignment vertical="center"/>
    </xf>
    <xf numFmtId="0" fontId="4" fillId="17" borderId="13" xfId="0" applyFont="1" applyFill="1" applyBorder="1" applyAlignment="1" applyProtection="1">
      <alignment vertical="top"/>
    </xf>
    <xf numFmtId="0" fontId="4" fillId="17" borderId="3" xfId="0" applyFont="1" applyFill="1" applyBorder="1" applyAlignment="1" applyProtection="1">
      <alignment vertical="top"/>
    </xf>
    <xf numFmtId="0" fontId="4" fillId="17" borderId="14" xfId="0" applyFont="1" applyFill="1" applyBorder="1" applyAlignment="1" applyProtection="1">
      <alignment vertical="top"/>
    </xf>
    <xf numFmtId="0" fontId="15" fillId="17" borderId="51" xfId="0" applyFont="1" applyFill="1" applyBorder="1" applyAlignment="1" applyProtection="1">
      <alignment horizontal="left" vertical="center"/>
      <protection locked="0"/>
    </xf>
    <xf numFmtId="0" fontId="15" fillId="17" borderId="52" xfId="0" applyFont="1" applyFill="1" applyBorder="1" applyAlignment="1" applyProtection="1">
      <alignment horizontal="left" vertical="center"/>
      <protection locked="0"/>
    </xf>
    <xf numFmtId="0" fontId="15" fillId="17" borderId="53" xfId="0" applyFont="1" applyFill="1" applyBorder="1" applyAlignment="1" applyProtection="1">
      <alignment horizontal="left" vertical="center"/>
      <protection locked="0"/>
    </xf>
    <xf numFmtId="0" fontId="15" fillId="17" borderId="54" xfId="0" applyFont="1" applyFill="1" applyBorder="1" applyAlignment="1" applyProtection="1">
      <alignment horizontal="left" vertical="center"/>
      <protection locked="0"/>
    </xf>
    <xf numFmtId="0" fontId="15" fillId="17" borderId="55" xfId="0" applyFont="1" applyFill="1" applyBorder="1" applyAlignment="1" applyProtection="1">
      <alignment horizontal="left" vertical="center"/>
      <protection locked="0"/>
    </xf>
    <xf numFmtId="0" fontId="15" fillId="17" borderId="56" xfId="0" applyFont="1" applyFill="1" applyBorder="1" applyAlignment="1" applyProtection="1">
      <alignment horizontal="left" vertical="center"/>
      <protection locked="0"/>
    </xf>
    <xf numFmtId="0" fontId="15" fillId="17" borderId="51" xfId="0" applyFont="1" applyFill="1" applyBorder="1" applyAlignment="1" applyProtection="1">
      <alignment horizontal="center" vertical="center"/>
      <protection locked="0"/>
    </xf>
    <xf numFmtId="0" fontId="15" fillId="17" borderId="53" xfId="0" applyFont="1" applyFill="1" applyBorder="1" applyAlignment="1" applyProtection="1">
      <alignment horizontal="center" vertical="center"/>
      <protection locked="0"/>
    </xf>
    <xf numFmtId="49" fontId="15" fillId="17" borderId="51" xfId="0" applyNumberFormat="1" applyFont="1" applyFill="1" applyBorder="1" applyAlignment="1" applyProtection="1">
      <alignment horizontal="center" vertical="center"/>
      <protection locked="0"/>
    </xf>
    <xf numFmtId="49" fontId="15" fillId="17" borderId="53" xfId="0" applyNumberFormat="1" applyFont="1" applyFill="1" applyBorder="1" applyAlignment="1" applyProtection="1">
      <alignment horizontal="center" vertical="center"/>
      <protection locked="0"/>
    </xf>
    <xf numFmtId="44" fontId="72" fillId="14" borderId="2" xfId="5" applyFont="1" applyFill="1" applyBorder="1" applyAlignment="1">
      <alignment horizontal="right"/>
    </xf>
    <xf numFmtId="44" fontId="74" fillId="19" borderId="2" xfId="5" applyFont="1" applyFill="1" applyBorder="1" applyAlignment="1">
      <alignment horizontal="right"/>
    </xf>
    <xf numFmtId="44" fontId="4" fillId="0" borderId="2" xfId="5" applyFont="1" applyFill="1" applyBorder="1" applyAlignment="1">
      <alignment horizontal="right"/>
    </xf>
    <xf numFmtId="44" fontId="4" fillId="0" borderId="0" xfId="5" applyFont="1" applyFill="1" applyBorder="1" applyAlignment="1">
      <alignment horizontal="right"/>
    </xf>
    <xf numFmtId="44" fontId="79" fillId="19" borderId="10" xfId="0" applyNumberFormat="1" applyFont="1" applyFill="1" applyBorder="1" applyAlignment="1">
      <alignment horizontal="right"/>
    </xf>
    <xf numFmtId="0" fontId="79" fillId="19" borderId="10" xfId="0" applyFont="1" applyFill="1" applyBorder="1" applyAlignment="1">
      <alignment horizontal="right"/>
    </xf>
    <xf numFmtId="44" fontId="4" fillId="0" borderId="2" xfId="5" applyFont="1" applyFill="1" applyBorder="1" applyAlignment="1">
      <alignment horizontal="center"/>
    </xf>
    <xf numFmtId="0" fontId="4" fillId="0" borderId="2" xfId="0" applyFont="1" applyBorder="1" applyAlignment="1">
      <alignment horizontal="right"/>
    </xf>
    <xf numFmtId="14" fontId="4" fillId="0" borderId="2" xfId="0" applyNumberFormat="1" applyFont="1" applyBorder="1" applyAlignment="1">
      <alignment horizontal="right"/>
    </xf>
    <xf numFmtId="42" fontId="4" fillId="0" borderId="2" xfId="0" applyNumberFormat="1" applyFont="1" applyFill="1" applyBorder="1" applyAlignment="1">
      <alignment horizontal="right"/>
    </xf>
    <xf numFmtId="165" fontId="65" fillId="0" borderId="2" xfId="0" applyNumberFormat="1" applyFont="1" applyFill="1" applyBorder="1" applyAlignment="1">
      <alignment horizontal="right"/>
    </xf>
    <xf numFmtId="165" fontId="12" fillId="0" borderId="2" xfId="0" applyNumberFormat="1" applyFont="1" applyFill="1" applyBorder="1" applyAlignment="1">
      <alignment horizontal="right"/>
    </xf>
    <xf numFmtId="175" fontId="12" fillId="0" borderId="2" xfId="0" applyNumberFormat="1" applyFont="1" applyFill="1" applyBorder="1" applyAlignment="1">
      <alignment horizontal="right"/>
    </xf>
    <xf numFmtId="42" fontId="12" fillId="0" borderId="2" xfId="0" applyNumberFormat="1" applyFont="1" applyFill="1" applyBorder="1" applyAlignment="1">
      <alignment horizontal="right"/>
    </xf>
    <xf numFmtId="1" fontId="12" fillId="0" borderId="2" xfId="0" applyNumberFormat="1" applyFont="1" applyFill="1" applyBorder="1" applyAlignment="1">
      <alignment horizontal="right"/>
    </xf>
    <xf numFmtId="0" fontId="76" fillId="0" borderId="24" xfId="0" applyFont="1" applyBorder="1" applyAlignment="1">
      <alignment horizontal="center"/>
    </xf>
    <xf numFmtId="0" fontId="77" fillId="0" borderId="24" xfId="0" applyFont="1" applyBorder="1" applyAlignment="1">
      <alignment horizontal="center"/>
    </xf>
    <xf numFmtId="0" fontId="25" fillId="0" borderId="3" xfId="0" applyFont="1" applyBorder="1" applyAlignment="1">
      <alignment horizontal="right"/>
    </xf>
    <xf numFmtId="14" fontId="25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38" fillId="8" borderId="0" xfId="0" applyFont="1" applyFill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left" vertical="center"/>
    </xf>
    <xf numFmtId="0" fontId="31" fillId="0" borderId="2" xfId="0" applyFont="1" applyBorder="1" applyAlignment="1" applyProtection="1">
      <alignment horizontal="center"/>
    </xf>
    <xf numFmtId="0" fontId="8" fillId="14" borderId="0" xfId="0" applyFont="1" applyFill="1" applyBorder="1" applyAlignment="1" applyProtection="1">
      <alignment horizontal="left" vertical="center"/>
    </xf>
    <xf numFmtId="0" fontId="16" fillId="0" borderId="3" xfId="0" applyFont="1" applyFill="1" applyBorder="1" applyAlignment="1" applyProtection="1">
      <alignment horizontal="left" vertical="center"/>
    </xf>
    <xf numFmtId="0" fontId="16" fillId="0" borderId="2" xfId="0" applyFont="1" applyFill="1" applyBorder="1" applyAlignment="1" applyProtection="1">
      <alignment horizontal="left" vertical="center"/>
    </xf>
    <xf numFmtId="170" fontId="4" fillId="0" borderId="2" xfId="0" applyNumberFormat="1" applyFont="1" applyFill="1" applyBorder="1" applyAlignment="1" applyProtection="1">
      <alignment horizontal="left" vertical="center"/>
    </xf>
    <xf numFmtId="0" fontId="4" fillId="0" borderId="2" xfId="0" applyFont="1" applyFill="1" applyBorder="1" applyAlignment="1" applyProtection="1">
      <alignment horizontal="left" vertical="center"/>
    </xf>
    <xf numFmtId="0" fontId="4" fillId="17" borderId="2" xfId="0" applyFont="1" applyFill="1" applyBorder="1" applyAlignment="1" applyProtection="1">
      <alignment horizontal="left" vertical="center"/>
      <protection locked="0"/>
    </xf>
    <xf numFmtId="0" fontId="27" fillId="0" borderId="2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top"/>
      <protection locked="0"/>
    </xf>
    <xf numFmtId="0" fontId="4" fillId="17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left" vertical="center"/>
      <protection locked="0"/>
    </xf>
    <xf numFmtId="0" fontId="8" fillId="6" borderId="3" xfId="0" applyFont="1" applyFill="1" applyBorder="1" applyAlignment="1" applyProtection="1">
      <alignment horizontal="left" vertical="center"/>
    </xf>
    <xf numFmtId="0" fontId="46" fillId="8" borderId="0" xfId="0" applyFont="1" applyFill="1" applyBorder="1" applyAlignment="1" applyProtection="1">
      <alignment horizontal="left" vertical="center"/>
    </xf>
    <xf numFmtId="0" fontId="36" fillId="8" borderId="23" xfId="0" applyFont="1" applyFill="1" applyBorder="1" applyAlignment="1" applyProtection="1">
      <alignment horizontal="left"/>
    </xf>
    <xf numFmtId="0" fontId="36" fillId="8" borderId="10" xfId="0" applyFont="1" applyFill="1" applyBorder="1" applyAlignment="1" applyProtection="1">
      <alignment horizontal="left"/>
    </xf>
    <xf numFmtId="0" fontId="4" fillId="8" borderId="13" xfId="0" applyFont="1" applyFill="1" applyBorder="1" applyAlignment="1" applyProtection="1">
      <alignment horizontal="left"/>
    </xf>
    <xf numFmtId="0" fontId="4" fillId="8" borderId="3" xfId="0" applyFont="1" applyFill="1" applyBorder="1" applyAlignment="1" applyProtection="1">
      <alignment horizontal="left"/>
    </xf>
    <xf numFmtId="0" fontId="47" fillId="8" borderId="0" xfId="0" applyFont="1" applyFill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/>
    </xf>
    <xf numFmtId="0" fontId="55" fillId="8" borderId="0" xfId="0" applyFont="1" applyFill="1" applyBorder="1" applyAlignment="1" applyProtection="1">
      <alignment horizontal="center"/>
    </xf>
    <xf numFmtId="0" fontId="33" fillId="0" borderId="23" xfId="0" applyFont="1" applyFill="1" applyBorder="1" applyAlignment="1">
      <alignment horizontal="left" vertical="center"/>
    </xf>
    <xf numFmtId="0" fontId="33" fillId="0" borderId="10" xfId="0" applyFont="1" applyFill="1" applyBorder="1" applyAlignment="1">
      <alignment horizontal="left" vertical="center"/>
    </xf>
    <xf numFmtId="0" fontId="33" fillId="0" borderId="11" xfId="0" applyFont="1" applyFill="1" applyBorder="1" applyAlignment="1">
      <alignment horizontal="left" vertical="center"/>
    </xf>
    <xf numFmtId="0" fontId="32" fillId="8" borderId="24" xfId="0" applyFont="1" applyFill="1" applyBorder="1" applyAlignment="1">
      <alignment horizontal="right" vertical="center"/>
    </xf>
    <xf numFmtId="0" fontId="32" fillId="8" borderId="27" xfId="0" applyFont="1" applyFill="1" applyBorder="1" applyAlignment="1">
      <alignment horizontal="right" vertical="center"/>
    </xf>
    <xf numFmtId="0" fontId="40" fillId="0" borderId="0" xfId="0" applyFont="1" applyFill="1" applyBorder="1" applyAlignment="1">
      <alignment horizontal="left"/>
    </xf>
    <xf numFmtId="0" fontId="35" fillId="0" borderId="3" xfId="0" applyFont="1" applyFill="1" applyBorder="1" applyAlignment="1">
      <alignment horizontal="left"/>
    </xf>
    <xf numFmtId="0" fontId="34" fillId="0" borderId="1" xfId="0" applyFont="1" applyFill="1" applyBorder="1" applyAlignment="1">
      <alignment horizontal="left" vertical="center"/>
    </xf>
    <xf numFmtId="0" fontId="34" fillId="0" borderId="0" xfId="0" applyFont="1" applyFill="1" applyBorder="1" applyAlignment="1">
      <alignment horizontal="left" vertical="center"/>
    </xf>
    <xf numFmtId="49" fontId="5" fillId="0" borderId="3" xfId="0" applyNumberFormat="1" applyFont="1" applyBorder="1" applyAlignment="1">
      <alignment horizontal="left"/>
    </xf>
    <xf numFmtId="49" fontId="5" fillId="0" borderId="14" xfId="0" applyNumberFormat="1" applyFont="1" applyBorder="1" applyAlignment="1">
      <alignment horizontal="left"/>
    </xf>
    <xf numFmtId="0" fontId="33" fillId="20" borderId="0" xfId="3" applyFont="1" applyFill="1" applyBorder="1" applyAlignment="1">
      <alignment horizontal="center" vertical="center"/>
    </xf>
    <xf numFmtId="0" fontId="33" fillId="12" borderId="0" xfId="0" applyFont="1" applyFill="1" applyBorder="1" applyAlignment="1">
      <alignment horizontal="center" vertical="center"/>
    </xf>
    <xf numFmtId="0" fontId="22" fillId="0" borderId="3" xfId="3" applyFont="1" applyBorder="1" applyAlignment="1">
      <alignment horizontal="center" vertical="center"/>
    </xf>
    <xf numFmtId="0" fontId="7" fillId="0" borderId="3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22" fillId="0" borderId="3" xfId="4" applyFont="1" applyBorder="1" applyAlignment="1">
      <alignment horizontal="center" vertical="center"/>
    </xf>
    <xf numFmtId="0" fontId="22" fillId="0" borderId="8" xfId="4" applyFont="1" applyBorder="1" applyAlignment="1">
      <alignment horizontal="center" vertical="center"/>
    </xf>
    <xf numFmtId="0" fontId="22" fillId="0" borderId="3" xfId="0" applyFont="1" applyBorder="1" applyAlignment="1">
      <alignment horizontal="center"/>
    </xf>
    <xf numFmtId="0" fontId="35" fillId="0" borderId="13" xfId="0" applyFont="1" applyBorder="1" applyAlignment="1">
      <alignment horizontal="left"/>
    </xf>
    <xf numFmtId="0" fontId="35" fillId="0" borderId="3" xfId="0" applyFont="1" applyBorder="1" applyAlignment="1">
      <alignment horizontal="left"/>
    </xf>
    <xf numFmtId="2" fontId="7" fillId="0" borderId="3" xfId="0" applyNumberFormat="1" applyFont="1" applyBorder="1" applyAlignment="1">
      <alignment horizontal="left"/>
    </xf>
    <xf numFmtId="2" fontId="7" fillId="0" borderId="14" xfId="0" applyNumberFormat="1" applyFont="1" applyBorder="1" applyAlignment="1">
      <alignment horizontal="left"/>
    </xf>
    <xf numFmtId="0" fontId="32" fillId="0" borderId="0" xfId="0" applyFont="1" applyBorder="1" applyAlignment="1">
      <alignment horizontal="left" vertical="center"/>
    </xf>
    <xf numFmtId="0" fontId="33" fillId="0" borderId="3" xfId="3" applyFont="1" applyBorder="1" applyAlignment="1">
      <alignment horizontal="left" vertical="center"/>
    </xf>
    <xf numFmtId="1" fontId="33" fillId="0" borderId="3" xfId="4" applyNumberFormat="1" applyFont="1" applyBorder="1" applyAlignment="1">
      <alignment horizontal="center" vertical="center"/>
    </xf>
    <xf numFmtId="165" fontId="33" fillId="12" borderId="0" xfId="0" applyNumberFormat="1" applyFont="1" applyFill="1" applyBorder="1" applyAlignment="1">
      <alignment horizontal="right" vertical="center"/>
    </xf>
    <xf numFmtId="0" fontId="33" fillId="0" borderId="8" xfId="3" applyFont="1" applyBorder="1" applyAlignment="1">
      <alignment horizontal="left" vertical="center"/>
    </xf>
    <xf numFmtId="0" fontId="42" fillId="0" borderId="0" xfId="0" applyFont="1" applyBorder="1" applyAlignment="1">
      <alignment horizontal="right" vertical="center"/>
    </xf>
    <xf numFmtId="0" fontId="42" fillId="0" borderId="0" xfId="0" applyFont="1" applyBorder="1" applyAlignment="1">
      <alignment horizontal="right" vertical="center" wrapText="1"/>
    </xf>
    <xf numFmtId="0" fontId="37" fillId="0" borderId="0" xfId="0" applyFont="1" applyBorder="1" applyAlignment="1">
      <alignment horizontal="left" vertical="center"/>
    </xf>
    <xf numFmtId="0" fontId="52" fillId="0" borderId="2" xfId="0" applyFont="1" applyFill="1" applyBorder="1" applyAlignment="1">
      <alignment horizontal="left"/>
    </xf>
    <xf numFmtId="0" fontId="52" fillId="0" borderId="3" xfId="0" applyFont="1" applyFill="1" applyBorder="1" applyAlignment="1">
      <alignment horizontal="left"/>
    </xf>
    <xf numFmtId="14" fontId="33" fillId="0" borderId="2" xfId="0" applyNumberFormat="1" applyFont="1" applyBorder="1" applyAlignment="1">
      <alignment horizontal="center"/>
    </xf>
    <xf numFmtId="0" fontId="22" fillId="17" borderId="2" xfId="0" applyFont="1" applyFill="1" applyBorder="1" applyAlignment="1" applyProtection="1">
      <alignment horizontal="center"/>
      <protection locked="0"/>
    </xf>
    <xf numFmtId="0" fontId="34" fillId="0" borderId="3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33" fillId="0" borderId="2" xfId="0" applyNumberFormat="1" applyFont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12" xfId="0" applyFon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12" fillId="0" borderId="14" xfId="0" applyFont="1" applyFill="1" applyBorder="1" applyAlignment="1">
      <alignment horizontal="center"/>
    </xf>
    <xf numFmtId="0" fontId="22" fillId="17" borderId="7" xfId="0" applyFont="1" applyFill="1" applyBorder="1" applyAlignment="1" applyProtection="1">
      <alignment horizontal="center"/>
      <protection locked="0"/>
    </xf>
    <xf numFmtId="0" fontId="22" fillId="0" borderId="7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17" borderId="3" xfId="0" applyFont="1" applyFill="1" applyBorder="1" applyAlignment="1" applyProtection="1">
      <alignment horizontal="center"/>
      <protection locked="0"/>
    </xf>
    <xf numFmtId="0" fontId="33" fillId="0" borderId="25" xfId="3" applyFont="1" applyBorder="1" applyAlignment="1">
      <alignment horizontal="left" vertical="center"/>
    </xf>
    <xf numFmtId="0" fontId="33" fillId="12" borderId="0" xfId="0" applyFont="1" applyFill="1" applyAlignment="1">
      <alignment horizontal="left" vertical="center"/>
    </xf>
    <xf numFmtId="1" fontId="33" fillId="0" borderId="2" xfId="4" applyNumberFormat="1" applyFont="1" applyBorder="1" applyAlignment="1">
      <alignment horizontal="center" vertical="center"/>
    </xf>
    <xf numFmtId="1" fontId="33" fillId="0" borderId="7" xfId="4" applyNumberFormat="1" applyFont="1" applyBorder="1" applyAlignment="1">
      <alignment horizontal="center" vertical="center"/>
    </xf>
    <xf numFmtId="1" fontId="33" fillId="0" borderId="25" xfId="4" applyNumberFormat="1" applyFont="1" applyBorder="1" applyAlignment="1">
      <alignment horizontal="center" vertical="center"/>
    </xf>
    <xf numFmtId="0" fontId="22" fillId="17" borderId="25" xfId="0" applyFont="1" applyFill="1" applyBorder="1" applyAlignment="1" applyProtection="1">
      <alignment horizontal="center"/>
      <protection locked="0"/>
    </xf>
    <xf numFmtId="0" fontId="22" fillId="0" borderId="25" xfId="0" applyFont="1" applyBorder="1" applyAlignment="1">
      <alignment horizontal="center"/>
    </xf>
    <xf numFmtId="1" fontId="33" fillId="0" borderId="8" xfId="4" applyNumberFormat="1" applyFont="1" applyBorder="1" applyAlignment="1">
      <alignment horizontal="center" vertical="center"/>
    </xf>
    <xf numFmtId="2" fontId="33" fillId="0" borderId="2" xfId="4" applyNumberFormat="1" applyFont="1" applyBorder="1" applyAlignment="1">
      <alignment horizontal="center" vertical="center"/>
    </xf>
    <xf numFmtId="2" fontId="33" fillId="0" borderId="3" xfId="4" applyNumberFormat="1" applyFont="1" applyBorder="1" applyAlignment="1">
      <alignment horizontal="center" vertical="center"/>
    </xf>
    <xf numFmtId="0" fontId="22" fillId="0" borderId="8" xfId="3" applyFont="1" applyBorder="1" applyAlignment="1">
      <alignment horizontal="center" vertical="center"/>
    </xf>
    <xf numFmtId="0" fontId="22" fillId="0" borderId="25" xfId="3" applyFont="1" applyBorder="1" applyAlignment="1">
      <alignment horizontal="center" vertical="center"/>
    </xf>
    <xf numFmtId="0" fontId="22" fillId="17" borderId="7" xfId="0" applyFont="1" applyFill="1" applyBorder="1" applyAlignment="1" applyProtection="1">
      <alignment horizontal="center" vertical="center"/>
      <protection locked="0"/>
    </xf>
    <xf numFmtId="0" fontId="22" fillId="0" borderId="25" xfId="4" applyFont="1" applyBorder="1" applyAlignment="1">
      <alignment horizontal="center" vertical="center"/>
    </xf>
    <xf numFmtId="0" fontId="33" fillId="0" borderId="2" xfId="3" applyFont="1" applyBorder="1" applyAlignment="1">
      <alignment horizontal="left" vertical="center"/>
    </xf>
    <xf numFmtId="0" fontId="22" fillId="0" borderId="2" xfId="3" applyFont="1" applyBorder="1" applyAlignment="1">
      <alignment horizontal="center" vertical="center"/>
    </xf>
    <xf numFmtId="0" fontId="4" fillId="8" borderId="24" xfId="0" applyFont="1" applyFill="1" applyBorder="1" applyAlignment="1">
      <alignment horizontal="left"/>
    </xf>
    <xf numFmtId="0" fontId="36" fillId="8" borderId="26" xfId="0" applyFont="1" applyFill="1" applyBorder="1" applyAlignment="1">
      <alignment horizontal="left"/>
    </xf>
    <xf numFmtId="0" fontId="36" fillId="8" borderId="24" xfId="0" applyFont="1" applyFill="1" applyBorder="1" applyAlignment="1">
      <alignment horizontal="left"/>
    </xf>
    <xf numFmtId="0" fontId="36" fillId="8" borderId="24" xfId="0" applyFont="1" applyFill="1" applyBorder="1" applyAlignment="1">
      <alignment horizontal="right"/>
    </xf>
    <xf numFmtId="0" fontId="22" fillId="0" borderId="2" xfId="4" applyFont="1" applyBorder="1" applyAlignment="1">
      <alignment horizontal="center" vertical="center"/>
    </xf>
    <xf numFmtId="0" fontId="22" fillId="0" borderId="69" xfId="0" applyFont="1" applyBorder="1" applyAlignment="1" applyProtection="1">
      <alignment horizontal="left" vertical="center" wrapText="1"/>
    </xf>
    <xf numFmtId="0" fontId="22" fillId="0" borderId="10" xfId="0" applyFont="1" applyBorder="1" applyAlignment="1" applyProtection="1">
      <alignment horizontal="left" vertical="center" wrapText="1"/>
    </xf>
    <xf numFmtId="0" fontId="22" fillId="0" borderId="73" xfId="0" applyFont="1" applyBorder="1" applyAlignment="1" applyProtection="1">
      <alignment horizontal="left" vertical="center" wrapText="1"/>
    </xf>
    <xf numFmtId="0" fontId="22" fillId="0" borderId="70" xfId="0" applyFont="1" applyBorder="1" applyAlignment="1" applyProtection="1">
      <alignment horizontal="left" vertical="center" wrapText="1"/>
    </xf>
    <xf numFmtId="0" fontId="22" fillId="0" borderId="0" xfId="0" applyFont="1" applyBorder="1" applyAlignment="1" applyProtection="1">
      <alignment horizontal="left" vertical="center" wrapText="1"/>
    </xf>
    <xf numFmtId="0" fontId="22" fillId="0" borderId="72" xfId="0" applyFont="1" applyBorder="1" applyAlignment="1" applyProtection="1">
      <alignment horizontal="left" vertical="center" wrapText="1"/>
    </xf>
    <xf numFmtId="0" fontId="22" fillId="0" borderId="71" xfId="0" applyFont="1" applyBorder="1" applyAlignment="1" applyProtection="1">
      <alignment horizontal="left" vertical="center" wrapText="1"/>
    </xf>
    <xf numFmtId="0" fontId="22" fillId="0" borderId="3" xfId="0" applyFont="1" applyBorder="1" applyAlignment="1" applyProtection="1">
      <alignment horizontal="left" vertical="center" wrapText="1"/>
    </xf>
    <xf numFmtId="0" fontId="22" fillId="0" borderId="74" xfId="0" applyFont="1" applyBorder="1" applyAlignment="1" applyProtection="1">
      <alignment horizontal="left" vertical="center" wrapText="1"/>
    </xf>
    <xf numFmtId="0" fontId="33" fillId="0" borderId="64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66" xfId="0" applyFont="1" applyBorder="1" applyAlignment="1" applyProtection="1">
      <alignment horizontal="center" vertical="center"/>
    </xf>
    <xf numFmtId="0" fontId="33" fillId="0" borderId="67" xfId="0" applyFont="1" applyBorder="1" applyAlignment="1" applyProtection="1">
      <alignment horizontal="center" vertical="center"/>
    </xf>
    <xf numFmtId="0" fontId="33" fillId="0" borderId="68" xfId="0" applyFont="1" applyBorder="1" applyAlignment="1" applyProtection="1">
      <alignment horizontal="center" vertical="center"/>
    </xf>
    <xf numFmtId="0" fontId="22" fillId="8" borderId="69" xfId="0" applyFont="1" applyFill="1" applyBorder="1" applyAlignment="1" applyProtection="1">
      <alignment horizontal="left" vertical="center" wrapText="1"/>
    </xf>
    <xf numFmtId="0" fontId="22" fillId="8" borderId="10" xfId="0" applyFont="1" applyFill="1" applyBorder="1" applyAlignment="1" applyProtection="1">
      <alignment horizontal="left" vertical="center" wrapText="1"/>
    </xf>
    <xf numFmtId="0" fontId="22" fillId="8" borderId="73" xfId="0" applyFont="1" applyFill="1" applyBorder="1" applyAlignment="1" applyProtection="1">
      <alignment horizontal="left" vertical="center" wrapText="1"/>
    </xf>
    <xf numFmtId="0" fontId="22" fillId="8" borderId="70" xfId="0" applyFont="1" applyFill="1" applyBorder="1" applyAlignment="1" applyProtection="1">
      <alignment horizontal="left" vertical="center" wrapText="1"/>
    </xf>
    <xf numFmtId="0" fontId="22" fillId="8" borderId="0" xfId="0" applyFont="1" applyFill="1" applyBorder="1" applyAlignment="1" applyProtection="1">
      <alignment horizontal="left" vertical="center" wrapText="1"/>
    </xf>
    <xf numFmtId="0" fontId="22" fillId="8" borderId="72" xfId="0" applyFont="1" applyFill="1" applyBorder="1" applyAlignment="1" applyProtection="1">
      <alignment horizontal="left" vertical="center" wrapText="1"/>
    </xf>
    <xf numFmtId="0" fontId="22" fillId="8" borderId="71" xfId="0" applyFont="1" applyFill="1" applyBorder="1" applyAlignment="1" applyProtection="1">
      <alignment horizontal="left" vertical="center" wrapText="1"/>
    </xf>
    <xf numFmtId="0" fontId="22" fillId="8" borderId="3" xfId="0" applyFont="1" applyFill="1" applyBorder="1" applyAlignment="1" applyProtection="1">
      <alignment horizontal="left" vertical="center" wrapText="1"/>
    </xf>
    <xf numFmtId="0" fontId="22" fillId="8" borderId="74" xfId="0" applyFont="1" applyFill="1" applyBorder="1" applyAlignment="1" applyProtection="1">
      <alignment horizontal="left" vertical="center" wrapText="1"/>
    </xf>
    <xf numFmtId="49" fontId="33" fillId="0" borderId="64" xfId="0" applyNumberFormat="1" applyFont="1" applyBorder="1" applyAlignment="1">
      <alignment horizontal="center" vertical="center"/>
    </xf>
    <xf numFmtId="49" fontId="33" fillId="0" borderId="65" xfId="0" applyNumberFormat="1" applyFont="1" applyBorder="1" applyAlignment="1">
      <alignment horizontal="center" vertical="center"/>
    </xf>
    <xf numFmtId="0" fontId="95" fillId="0" borderId="69" xfId="0" applyFont="1" applyBorder="1" applyAlignment="1" applyProtection="1">
      <alignment horizontal="center" vertical="center"/>
    </xf>
    <xf numFmtId="0" fontId="95" fillId="0" borderId="10" xfId="0" applyFont="1" applyBorder="1" applyAlignment="1" applyProtection="1">
      <alignment horizontal="center" vertical="center"/>
    </xf>
    <xf numFmtId="0" fontId="95" fillId="0" borderId="73" xfId="0" applyFont="1" applyBorder="1" applyAlignment="1" applyProtection="1">
      <alignment horizontal="center" vertical="center"/>
    </xf>
    <xf numFmtId="0" fontId="95" fillId="0" borderId="70" xfId="0" applyFont="1" applyBorder="1" applyAlignment="1" applyProtection="1">
      <alignment horizontal="center" vertical="center"/>
    </xf>
    <xf numFmtId="0" fontId="95" fillId="0" borderId="0" xfId="0" applyFont="1" applyBorder="1" applyAlignment="1" applyProtection="1">
      <alignment horizontal="center" vertical="center"/>
    </xf>
    <xf numFmtId="0" fontId="95" fillId="0" borderId="72" xfId="0" applyFont="1" applyBorder="1" applyAlignment="1" applyProtection="1">
      <alignment horizontal="center" vertical="center"/>
    </xf>
    <xf numFmtId="0" fontId="95" fillId="0" borderId="71" xfId="0" applyFont="1" applyBorder="1" applyAlignment="1" applyProtection="1">
      <alignment horizontal="center" vertical="center"/>
    </xf>
    <xf numFmtId="0" fontId="95" fillId="0" borderId="3" xfId="0" applyFont="1" applyBorder="1" applyAlignment="1" applyProtection="1">
      <alignment horizontal="center" vertical="center"/>
    </xf>
    <xf numFmtId="0" fontId="95" fillId="0" borderId="74" xfId="0" applyFont="1" applyBorder="1" applyAlignment="1" applyProtection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76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33" fillId="0" borderId="77" xfId="0" applyFont="1" applyBorder="1" applyAlignment="1">
      <alignment horizontal="center" vertical="center"/>
    </xf>
    <xf numFmtId="0" fontId="33" fillId="0" borderId="78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0" borderId="69" xfId="0" applyFont="1" applyBorder="1" applyAlignment="1">
      <alignment horizontal="center" vertical="center"/>
    </xf>
    <xf numFmtId="0" fontId="33" fillId="0" borderId="70" xfId="0" applyFont="1" applyBorder="1" applyAlignment="1">
      <alignment horizontal="center" vertical="center"/>
    </xf>
    <xf numFmtId="0" fontId="33" fillId="0" borderId="71" xfId="0" applyFont="1" applyBorder="1" applyAlignment="1">
      <alignment horizontal="center" vertical="center"/>
    </xf>
    <xf numFmtId="0" fontId="33" fillId="0" borderId="79" xfId="0" applyFont="1" applyFill="1" applyBorder="1" applyAlignment="1">
      <alignment horizontal="right" vertical="center" wrapText="1"/>
    </xf>
    <xf numFmtId="0" fontId="33" fillId="0" borderId="3" xfId="0" applyFont="1" applyFill="1" applyBorder="1" applyAlignment="1">
      <alignment horizontal="right" vertical="center" wrapText="1"/>
    </xf>
    <xf numFmtId="0" fontId="37" fillId="0" borderId="3" xfId="0" applyFont="1" applyFill="1" applyBorder="1" applyAlignment="1">
      <alignment horizontal="left" vertical="center" wrapText="1"/>
    </xf>
    <xf numFmtId="0" fontId="37" fillId="0" borderId="74" xfId="0" applyFont="1" applyFill="1" applyBorder="1" applyAlignment="1">
      <alignment horizontal="left" vertical="center" wrapText="1"/>
    </xf>
    <xf numFmtId="0" fontId="33" fillId="0" borderId="71" xfId="0" applyFont="1" applyFill="1" applyBorder="1" applyAlignment="1">
      <alignment horizontal="right" vertical="center" wrapText="1"/>
    </xf>
    <xf numFmtId="0" fontId="96" fillId="0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/>
    </xf>
    <xf numFmtId="0" fontId="7" fillId="15" borderId="0" xfId="0" applyFont="1" applyFill="1" applyAlignment="1">
      <alignment horizontal="left"/>
    </xf>
    <xf numFmtId="0" fontId="7" fillId="16" borderId="0" xfId="0" applyFont="1" applyFill="1" applyAlignment="1">
      <alignment horizontal="left"/>
    </xf>
    <xf numFmtId="0" fontId="2" fillId="18" borderId="0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</cellXfs>
  <cellStyles count="8">
    <cellStyle name="Excel Built-in Normal" xfId="1"/>
    <cellStyle name="Hyperlink" xfId="6" builtinId="8"/>
    <cellStyle name="Prozent" xfId="2" builtinId="5"/>
    <cellStyle name="Standard" xfId="0" builtinId="0"/>
    <cellStyle name="Standard 2" xfId="7"/>
    <cellStyle name="Standard_Mappe1" xfId="3"/>
    <cellStyle name="Standard_Temporary ODF 11" xfId="4"/>
    <cellStyle name="Währung" xfId="5" builtinId="4"/>
  </cellStyles>
  <dxfs count="17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2D050"/>
      </font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</xdr:rowOff>
        </xdr:from>
        <xdr:to>
          <xdr:col>7</xdr:col>
          <xdr:colOff>714375</xdr:colOff>
          <xdr:row>3</xdr:row>
          <xdr:rowOff>190500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57150</xdr:colOff>
          <xdr:row>18</xdr:row>
          <xdr:rowOff>28575</xdr:rowOff>
        </xdr:from>
        <xdr:to>
          <xdr:col>34</xdr:col>
          <xdr:colOff>971550</xdr:colOff>
          <xdr:row>18</xdr:row>
          <xdr:rowOff>342900</xdr:rowOff>
        </xdr:to>
        <xdr:sp macro="" textlink="">
          <xdr:nvSpPr>
            <xdr:cNvPr id="5132" name="CommandButton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18</xdr:row>
          <xdr:rowOff>28575</xdr:rowOff>
        </xdr:from>
        <xdr:to>
          <xdr:col>35</xdr:col>
          <xdr:colOff>952500</xdr:colOff>
          <xdr:row>18</xdr:row>
          <xdr:rowOff>342900</xdr:rowOff>
        </xdr:to>
        <xdr:sp macro="" textlink="">
          <xdr:nvSpPr>
            <xdr:cNvPr id="5133" name="CommandButton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28575</xdr:colOff>
          <xdr:row>18</xdr:row>
          <xdr:rowOff>28575</xdr:rowOff>
        </xdr:from>
        <xdr:to>
          <xdr:col>36</xdr:col>
          <xdr:colOff>942975</xdr:colOff>
          <xdr:row>18</xdr:row>
          <xdr:rowOff>333375</xdr:rowOff>
        </xdr:to>
        <xdr:sp macro="" textlink="">
          <xdr:nvSpPr>
            <xdr:cNvPr id="5134" name="CommandButton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38100</xdr:rowOff>
    </xdr:from>
    <xdr:to>
      <xdr:col>6</xdr:col>
      <xdr:colOff>533400</xdr:colOff>
      <xdr:row>1</xdr:row>
      <xdr:rowOff>171450</xdr:rowOff>
    </xdr:to>
    <xdr:pic>
      <xdr:nvPicPr>
        <xdr:cNvPr id="6164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9950" y="38100"/>
          <a:ext cx="21336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43</xdr:row>
          <xdr:rowOff>0</xdr:rowOff>
        </xdr:from>
        <xdr:to>
          <xdr:col>14</xdr:col>
          <xdr:colOff>76200</xdr:colOff>
          <xdr:row>45</xdr:row>
          <xdr:rowOff>28575</xdr:rowOff>
        </xdr:to>
        <xdr:sp macro="" textlink="">
          <xdr:nvSpPr>
            <xdr:cNvPr id="6148" name="CommandButton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0</xdr:row>
      <xdr:rowOff>47625</xdr:rowOff>
    </xdr:from>
    <xdr:to>
      <xdr:col>5</xdr:col>
      <xdr:colOff>476250</xdr:colOff>
      <xdr:row>1</xdr:row>
      <xdr:rowOff>114300</xdr:rowOff>
    </xdr:to>
    <xdr:pic>
      <xdr:nvPicPr>
        <xdr:cNvPr id="7173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47625"/>
          <a:ext cx="18192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9525</xdr:rowOff>
    </xdr:from>
    <xdr:to>
      <xdr:col>2</xdr:col>
      <xdr:colOff>361950</xdr:colOff>
      <xdr:row>1</xdr:row>
      <xdr:rowOff>28575</xdr:rowOff>
    </xdr:to>
    <xdr:pic>
      <xdr:nvPicPr>
        <xdr:cNvPr id="8196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24098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371475</xdr:colOff>
      <xdr:row>3</xdr:row>
      <xdr:rowOff>9525</xdr:rowOff>
    </xdr:from>
    <xdr:to>
      <xdr:col>29</xdr:col>
      <xdr:colOff>381000</xdr:colOff>
      <xdr:row>5</xdr:row>
      <xdr:rowOff>19050</xdr:rowOff>
    </xdr:to>
    <xdr:pic>
      <xdr:nvPicPr>
        <xdr:cNvPr id="4102" name="Picture 43" descr="Logo LSTK inv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025" y="752475"/>
          <a:ext cx="2743200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</xdr:row>
          <xdr:rowOff>0</xdr:rowOff>
        </xdr:from>
        <xdr:to>
          <xdr:col>31</xdr:col>
          <xdr:colOff>295275</xdr:colOff>
          <xdr:row>5</xdr:row>
          <xdr:rowOff>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200606_Kalku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ndard/Desktop/5_FP_ALG_01_bauteilspezif._Fertigungsprotokol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mdaten"/>
      <sheetName val="Overhead Kosten"/>
    </sheetNames>
    <sheetDataSet>
      <sheetData sheetId="0" refreshError="1">
        <row r="2">
          <cell r="J2">
            <v>35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kblatt"/>
      <sheetName val="Materialien"/>
      <sheetName val="WZ-Vorbereitung"/>
      <sheetName val="Zuschnitt &amp; Preforming"/>
      <sheetName val="Autoklavvorbereitung"/>
      <sheetName val="Autoklav-Prozess"/>
      <sheetName val="Entformen"/>
      <sheetName val="Tempern"/>
      <sheetName val="Nachbearbeitung intern"/>
      <sheetName val="Nachbearbeitung extern"/>
      <sheetName val="Endkontrolle"/>
      <sheetName val="Dropdown-Men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..\..\..\..\Verwaltung%20&amp;%20QM\400%20Ressourcenmanagement\Datenbl&#228;tter\B&#252;fa\Atlac%20430.pdf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..\..\..\..\Verwaltung%20&amp;%20QM\400%20Ressourcenmanagement\Datenbl&#228;tter\B&#252;fa\Brandschutzsystem%20270-570\716-8175.pdf" TargetMode="External"/><Relationship Id="rId1" Type="http://schemas.openxmlformats.org/officeDocument/2006/relationships/hyperlink" Target="..\..\..\..\Verwaltung%20&amp;%20QM\400%20Ressourcenmanagement\Datenbl&#228;tter\Voss\TMB_viscovoss_onyx_02.pdf" TargetMode="External"/><Relationship Id="rId6" Type="http://schemas.openxmlformats.org/officeDocument/2006/relationships/hyperlink" Target="..\..\..\..\Verwaltung%20&amp;%20QM\400%20Ressourcenmanagement\Datenbl&#228;tter\Epoxidharz\neu%20PDB_EPOXIDHARZ-03-G.pdf" TargetMode="External"/><Relationship Id="rId5" Type="http://schemas.openxmlformats.org/officeDocument/2006/relationships/hyperlink" Target="..\..\..\..\Verwaltung%20&amp;%20QM\400%20Ressourcenmanagement\Datenbl&#228;tter\Nordmann_Rassmann\Derakane%20momentum%20470-300%5b1%5d.pdf" TargetMode="External"/><Relationship Id="rId4" Type="http://schemas.openxmlformats.org/officeDocument/2006/relationships/hyperlink" Target="..\..\..\..\Verwaltung%20&amp;%20QM\400%20Ressourcenmanagement\Datenbl&#228;tter\M&#252;hlmeier\DISTITRON%20VE%20100%20STD.pdf" TargetMode="External"/><Relationship Id="rId9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theme="3" tint="0.59999389629810485"/>
  </sheetPr>
  <dimension ref="A1:AN133"/>
  <sheetViews>
    <sheetView tabSelected="1" zoomScale="69" zoomScaleNormal="69" workbookViewId="0">
      <selection activeCell="G42" sqref="G42"/>
    </sheetView>
  </sheetViews>
  <sheetFormatPr baseColWidth="10" defaultRowHeight="14.25" outlineLevelCol="1"/>
  <cols>
    <col min="1" max="1" width="2.7109375" style="324" customWidth="1"/>
    <col min="2" max="2" width="4.5703125" style="324" customWidth="1"/>
    <col min="3" max="4" width="33.7109375" style="324" customWidth="1"/>
    <col min="5" max="8" width="11.140625" style="324" customWidth="1"/>
    <col min="9" max="9" width="3.85546875" style="321" hidden="1" customWidth="1" outlineLevel="1"/>
    <col min="10" max="10" width="10.85546875" style="322" hidden="1" customWidth="1" outlineLevel="1"/>
    <col min="11" max="11" width="8.7109375" style="324" hidden="1" customWidth="1" outlineLevel="1"/>
    <col min="12" max="12" width="10.42578125" style="324" hidden="1" customWidth="1" outlineLevel="1"/>
    <col min="13" max="15" width="10.28515625" style="324" hidden="1" customWidth="1" outlineLevel="1"/>
    <col min="16" max="16" width="13" style="324" hidden="1" customWidth="1" outlineLevel="1"/>
    <col min="17" max="18" width="10.28515625" style="324" hidden="1" customWidth="1" outlineLevel="1"/>
    <col min="19" max="19" width="8.7109375" style="324" hidden="1" customWidth="1" outlineLevel="1"/>
    <col min="20" max="20" width="12.42578125" style="324" hidden="1" customWidth="1" outlineLevel="1"/>
    <col min="21" max="21" width="12.140625" style="324" hidden="1" customWidth="1" outlineLevel="1"/>
    <col min="22" max="22" width="8.7109375" style="324" hidden="1" customWidth="1" outlineLevel="1"/>
    <col min="23" max="23" width="28.28515625" style="325" hidden="1" customWidth="1" outlineLevel="1"/>
    <col min="24" max="29" width="8.5703125" style="326" hidden="1" customWidth="1" outlineLevel="1"/>
    <col min="30" max="30" width="8.5703125" style="327" hidden="1" customWidth="1" outlineLevel="1"/>
    <col min="31" max="31" width="7.7109375" style="324" customWidth="1" collapsed="1"/>
    <col min="32" max="32" width="5.7109375" style="324" customWidth="1"/>
    <col min="33" max="33" width="29.28515625" style="324" customWidth="1"/>
    <col min="34" max="34" width="4.5703125" style="324" customWidth="1"/>
    <col min="35" max="35" width="14.7109375" style="326" customWidth="1"/>
    <col min="36" max="36" width="14.7109375" style="350" customWidth="1"/>
    <col min="37" max="37" width="14.7109375" style="324" customWidth="1"/>
    <col min="38" max="38" width="10.7109375" style="324" customWidth="1"/>
    <col min="39" max="39" width="8.42578125" style="324" hidden="1" customWidth="1"/>
    <col min="40" max="40" width="9.7109375" style="324" hidden="1" customWidth="1"/>
    <col min="41" max="42" width="9.7109375" style="324" customWidth="1"/>
    <col min="43" max="45" width="8.28515625" style="324" customWidth="1"/>
    <col min="46" max="46" width="13" style="324" customWidth="1"/>
    <col min="47" max="16384" width="11.42578125" style="324"/>
  </cols>
  <sheetData>
    <row r="1" spans="1:38" s="312" customFormat="1" ht="17.25" thickBot="1">
      <c r="A1" s="307" t="s">
        <v>299</v>
      </c>
      <c r="B1" s="308"/>
      <c r="C1" s="309" t="s">
        <v>565</v>
      </c>
      <c r="D1" s="308"/>
      <c r="E1" s="308"/>
      <c r="F1" s="308"/>
      <c r="G1" s="308"/>
      <c r="H1" s="308"/>
      <c r="I1" s="310"/>
      <c r="J1" s="311"/>
      <c r="K1" s="308"/>
      <c r="L1" s="308"/>
      <c r="W1" s="313"/>
      <c r="X1" s="314"/>
      <c r="Y1" s="314"/>
      <c r="Z1" s="314"/>
      <c r="AA1" s="314"/>
      <c r="AB1" s="314"/>
      <c r="AC1" s="314"/>
      <c r="AD1" s="315"/>
      <c r="AI1" s="314"/>
      <c r="AJ1" s="314"/>
    </row>
    <row r="2" spans="1:38" ht="15">
      <c r="A2" s="651">
        <f>HLOOKUP(Komplexitaet,Stammdaten!D4:G41,2,0)</f>
        <v>6</v>
      </c>
      <c r="B2" s="652"/>
      <c r="C2" s="316" t="s">
        <v>29</v>
      </c>
      <c r="D2" s="177" t="s">
        <v>4</v>
      </c>
      <c r="E2" s="317"/>
      <c r="F2" s="318" t="s">
        <v>185</v>
      </c>
      <c r="G2" s="319"/>
      <c r="H2" s="320"/>
      <c r="K2" s="323"/>
      <c r="L2" s="323"/>
      <c r="M2" s="323"/>
      <c r="N2" s="323"/>
      <c r="O2" s="323"/>
      <c r="P2" s="323"/>
      <c r="Q2" s="323"/>
      <c r="AJ2" s="326"/>
    </row>
    <row r="3" spans="1:38" ht="15">
      <c r="A3" s="653">
        <f>VLOOKUP(Harztyp,(Stammdaten!C121:D151),2,0)</f>
        <v>6.38</v>
      </c>
      <c r="B3" s="654"/>
      <c r="C3" s="328" t="s">
        <v>30</v>
      </c>
      <c r="D3" s="178" t="s">
        <v>370</v>
      </c>
      <c r="E3" s="317"/>
      <c r="F3" s="635">
        <v>670</v>
      </c>
      <c r="G3" s="329"/>
      <c r="H3" s="330"/>
      <c r="K3" s="323"/>
      <c r="L3" s="323"/>
      <c r="M3" s="323"/>
      <c r="N3" s="323"/>
      <c r="O3" s="323"/>
      <c r="P3" s="323"/>
      <c r="Q3" s="323"/>
      <c r="AJ3" s="326"/>
    </row>
    <row r="4" spans="1:38" ht="15.75" thickBot="1">
      <c r="A4" s="653">
        <f>VLOOKUP(D4,(Stammdaten!C109:D119),2,0)</f>
        <v>11.25</v>
      </c>
      <c r="B4" s="654"/>
      <c r="C4" s="328" t="s">
        <v>101</v>
      </c>
      <c r="D4" s="178" t="s">
        <v>386</v>
      </c>
      <c r="E4" s="317"/>
      <c r="F4" s="636"/>
      <c r="G4" s="331"/>
      <c r="H4" s="332"/>
      <c r="K4" s="323"/>
      <c r="L4" s="323"/>
      <c r="M4" s="323"/>
      <c r="N4" s="323"/>
      <c r="O4" s="323"/>
      <c r="P4" s="323"/>
      <c r="Q4" s="323"/>
      <c r="AJ4" s="326"/>
    </row>
    <row r="5" spans="1:38" ht="15.75" thickBot="1">
      <c r="A5" s="333"/>
      <c r="B5" s="334"/>
      <c r="C5" s="328" t="s">
        <v>104</v>
      </c>
      <c r="D5" s="178" t="s">
        <v>312</v>
      </c>
      <c r="E5" s="317"/>
      <c r="H5" s="317"/>
      <c r="K5" s="323"/>
      <c r="L5" s="323"/>
      <c r="M5" s="323"/>
      <c r="N5" s="323"/>
      <c r="O5" s="323"/>
      <c r="P5" s="323"/>
      <c r="Q5" s="323"/>
      <c r="AJ5" s="326"/>
    </row>
    <row r="6" spans="1:38" ht="15">
      <c r="A6" s="653">
        <f>VLOOKUP(D6,(Stammdaten!C109:D119),2,0)</f>
        <v>11.25</v>
      </c>
      <c r="B6" s="654"/>
      <c r="C6" s="328" t="s">
        <v>103</v>
      </c>
      <c r="D6" s="178" t="s">
        <v>386</v>
      </c>
      <c r="E6" s="317"/>
      <c r="F6" s="335" t="s">
        <v>252</v>
      </c>
      <c r="G6" s="637" t="str">
        <f>FA!Q2</f>
        <v>215007</v>
      </c>
      <c r="H6" s="638"/>
      <c r="K6" s="323"/>
      <c r="L6" s="323"/>
      <c r="M6" s="323"/>
      <c r="N6" s="323"/>
      <c r="O6" s="323"/>
      <c r="P6" s="323"/>
      <c r="Q6" s="323"/>
      <c r="AJ6" s="326"/>
    </row>
    <row r="7" spans="1:38" ht="15.75" thickBot="1">
      <c r="A7" s="336"/>
      <c r="B7" s="337"/>
      <c r="C7" s="338" t="s">
        <v>104</v>
      </c>
      <c r="D7" s="304"/>
      <c r="E7" s="317"/>
      <c r="F7" s="339" t="s">
        <v>309</v>
      </c>
      <c r="G7" s="621">
        <v>1</v>
      </c>
      <c r="H7" s="622"/>
      <c r="K7" s="323"/>
      <c r="L7" s="323"/>
      <c r="M7" s="323"/>
      <c r="N7" s="323"/>
      <c r="O7" s="323"/>
      <c r="P7" s="323"/>
      <c r="Q7" s="323"/>
      <c r="AJ7" s="326"/>
    </row>
    <row r="8" spans="1:38" ht="9" customHeight="1" thickBot="1">
      <c r="A8" s="337"/>
      <c r="B8" s="337"/>
      <c r="C8" s="340"/>
      <c r="D8" s="341"/>
      <c r="E8" s="342"/>
      <c r="G8" s="493"/>
      <c r="H8" s="342"/>
      <c r="K8" s="323"/>
      <c r="L8" s="323"/>
      <c r="M8" s="323"/>
      <c r="N8" s="323"/>
      <c r="O8" s="323"/>
      <c r="P8" s="323"/>
      <c r="Q8" s="323"/>
      <c r="AE8" s="343"/>
      <c r="AJ8" s="326"/>
    </row>
    <row r="9" spans="1:38" ht="15">
      <c r="A9" s="337"/>
      <c r="B9" s="337"/>
      <c r="C9" s="316" t="s">
        <v>34</v>
      </c>
      <c r="D9" s="177">
        <v>3.7</v>
      </c>
      <c r="E9" s="317"/>
      <c r="F9" s="335" t="s">
        <v>325</v>
      </c>
      <c r="G9" s="619" t="str">
        <f>FA!J2</f>
        <v>Div. Luftleitschilde</v>
      </c>
      <c r="H9" s="620"/>
      <c r="K9" s="323"/>
      <c r="L9" s="323"/>
      <c r="M9" s="323"/>
      <c r="N9" s="323"/>
      <c r="O9" s="323"/>
      <c r="P9" s="323"/>
      <c r="Q9" s="323"/>
      <c r="AE9" s="343"/>
      <c r="AJ9" s="326"/>
    </row>
    <row r="10" spans="1:38" ht="15">
      <c r="A10" s="337"/>
      <c r="B10" s="337"/>
      <c r="C10" s="328" t="s">
        <v>88</v>
      </c>
      <c r="D10" s="178">
        <v>20</v>
      </c>
      <c r="E10" s="317"/>
      <c r="F10" s="344" t="s">
        <v>287</v>
      </c>
      <c r="G10" s="645"/>
      <c r="H10" s="646"/>
      <c r="K10" s="323"/>
      <c r="L10" s="323"/>
      <c r="M10" s="323"/>
      <c r="N10" s="323"/>
      <c r="O10" s="323"/>
      <c r="P10" s="323"/>
      <c r="Q10" s="323"/>
      <c r="AE10" s="345"/>
      <c r="AJ10" s="326"/>
    </row>
    <row r="11" spans="1:38" ht="15.75" customHeight="1" thickBot="1">
      <c r="A11" s="337"/>
      <c r="B11" s="337"/>
      <c r="C11" s="338" t="s">
        <v>36</v>
      </c>
      <c r="D11" s="304">
        <v>1</v>
      </c>
      <c r="E11" s="317"/>
      <c r="F11" s="339" t="s">
        <v>324</v>
      </c>
      <c r="G11" s="621"/>
      <c r="H11" s="622"/>
      <c r="K11" s="323"/>
      <c r="L11" s="323"/>
      <c r="M11" s="323"/>
      <c r="N11" s="323"/>
      <c r="O11" s="323"/>
      <c r="P11" s="323"/>
      <c r="Q11" s="323"/>
      <c r="R11" s="337"/>
      <c r="S11" s="337"/>
      <c r="T11" s="337"/>
      <c r="U11" s="337"/>
      <c r="AE11" s="345"/>
      <c r="AJ11" s="326"/>
    </row>
    <row r="12" spans="1:38" ht="8.25" customHeight="1" thickBot="1">
      <c r="A12" s="337"/>
      <c r="B12" s="337"/>
      <c r="C12" s="340"/>
      <c r="D12" s="346"/>
      <c r="E12" s="347"/>
      <c r="G12" s="325"/>
      <c r="H12" s="348"/>
      <c r="K12" s="323"/>
      <c r="L12" s="323"/>
      <c r="M12" s="323"/>
      <c r="N12" s="323"/>
      <c r="O12" s="323"/>
      <c r="P12" s="323"/>
      <c r="Q12" s="323"/>
      <c r="R12" s="337"/>
      <c r="S12" s="337"/>
      <c r="T12" s="337"/>
      <c r="U12" s="337"/>
      <c r="AE12" s="345"/>
      <c r="AJ12" s="326"/>
    </row>
    <row r="13" spans="1:38" ht="15.75" customHeight="1">
      <c r="A13" s="337"/>
      <c r="B13" s="337"/>
      <c r="C13" s="316" t="s">
        <v>37</v>
      </c>
      <c r="D13" s="179">
        <v>0</v>
      </c>
      <c r="E13" s="349"/>
      <c r="F13" s="335" t="s">
        <v>271</v>
      </c>
      <c r="G13" s="643">
        <f>FA!C13</f>
        <v>0</v>
      </c>
      <c r="H13" s="644"/>
      <c r="K13" s="323"/>
      <c r="L13" s="323"/>
      <c r="M13" s="323"/>
      <c r="N13" s="323"/>
      <c r="O13" s="323"/>
      <c r="P13" s="323"/>
      <c r="Q13" s="323"/>
      <c r="R13" s="337"/>
      <c r="S13" s="337"/>
      <c r="T13" s="337"/>
      <c r="U13" s="337"/>
      <c r="AE13" s="345"/>
      <c r="AJ13" s="326"/>
    </row>
    <row r="14" spans="1:38" ht="15.75" customHeight="1">
      <c r="A14" s="337"/>
      <c r="B14" s="337"/>
      <c r="C14" s="328" t="s">
        <v>90</v>
      </c>
      <c r="D14" s="180">
        <v>0</v>
      </c>
      <c r="E14" s="349"/>
      <c r="F14" s="344" t="s">
        <v>272</v>
      </c>
      <c r="G14" s="641" t="str">
        <f>FA!C14</f>
        <v>Fr.Leipner</v>
      </c>
      <c r="H14" s="642"/>
      <c r="K14" s="323"/>
      <c r="L14" s="323"/>
      <c r="M14" s="323"/>
      <c r="N14" s="323"/>
      <c r="O14" s="323"/>
      <c r="P14" s="323"/>
      <c r="Q14" s="323"/>
      <c r="R14" s="337"/>
      <c r="S14" s="337"/>
      <c r="T14" s="337"/>
      <c r="U14" s="337"/>
      <c r="AE14" s="345"/>
    </row>
    <row r="15" spans="1:38" ht="15.75" customHeight="1" thickBot="1">
      <c r="A15" s="337"/>
      <c r="B15" s="337"/>
      <c r="C15" s="338" t="s">
        <v>89</v>
      </c>
      <c r="D15" s="181">
        <v>0</v>
      </c>
      <c r="E15" s="349"/>
      <c r="F15" s="339" t="s">
        <v>273</v>
      </c>
      <c r="G15" s="639">
        <f>FA!C15</f>
        <v>0</v>
      </c>
      <c r="H15" s="640"/>
      <c r="K15" s="323"/>
      <c r="L15" s="323"/>
      <c r="M15" s="323"/>
      <c r="N15" s="323"/>
      <c r="O15" s="323"/>
      <c r="P15" s="323"/>
      <c r="Q15" s="323"/>
      <c r="R15" s="337"/>
      <c r="S15" s="337"/>
      <c r="T15" s="337"/>
      <c r="U15" s="337"/>
      <c r="AE15" s="345"/>
    </row>
    <row r="16" spans="1:38" ht="15.75" customHeight="1" thickBot="1">
      <c r="A16" s="351"/>
      <c r="B16" s="351"/>
      <c r="C16" s="351"/>
      <c r="D16" s="351"/>
      <c r="E16" s="351"/>
      <c r="F16" s="351"/>
      <c r="G16" s="351"/>
      <c r="H16" s="351"/>
      <c r="I16" s="352"/>
      <c r="J16" s="353"/>
      <c r="K16" s="354"/>
      <c r="L16" s="355"/>
      <c r="M16" s="351"/>
      <c r="N16" s="351"/>
      <c r="O16" s="351"/>
      <c r="P16" s="351"/>
      <c r="Q16" s="351"/>
      <c r="R16" s="351"/>
      <c r="S16" s="337"/>
      <c r="T16" s="337"/>
      <c r="U16" s="337"/>
      <c r="V16" s="337"/>
      <c r="W16" s="356"/>
      <c r="X16" s="357"/>
      <c r="AA16" s="358"/>
      <c r="AB16" s="358"/>
      <c r="AC16" s="358"/>
      <c r="AD16" s="359"/>
      <c r="AF16" s="337"/>
      <c r="AG16" s="308"/>
      <c r="AH16" s="308"/>
      <c r="AJ16" s="326"/>
      <c r="AK16" s="326"/>
      <c r="AL16" s="326"/>
    </row>
    <row r="17" spans="1:40" s="365" customFormat="1" ht="11.25" hidden="1" customHeight="1" thickBot="1">
      <c r="A17" s="360"/>
      <c r="B17" s="360"/>
      <c r="C17" s="360">
        <v>3</v>
      </c>
      <c r="D17" s="360"/>
      <c r="E17" s="360"/>
      <c r="F17" s="360"/>
      <c r="G17" s="360"/>
      <c r="H17" s="360"/>
      <c r="I17" s="361">
        <v>2</v>
      </c>
      <c r="J17" s="362">
        <v>8</v>
      </c>
      <c r="K17" s="360">
        <v>9</v>
      </c>
      <c r="L17" s="360"/>
      <c r="M17" s="360">
        <v>10</v>
      </c>
      <c r="N17" s="360">
        <v>11</v>
      </c>
      <c r="O17" s="360">
        <v>14</v>
      </c>
      <c r="P17" s="360"/>
      <c r="Q17" s="360">
        <v>15</v>
      </c>
      <c r="R17" s="360">
        <v>16</v>
      </c>
      <c r="S17" s="363">
        <v>17</v>
      </c>
      <c r="T17" s="363">
        <v>12</v>
      </c>
      <c r="U17" s="363">
        <v>14</v>
      </c>
      <c r="V17" s="363">
        <v>18</v>
      </c>
      <c r="W17" s="363">
        <v>19</v>
      </c>
      <c r="X17" s="363"/>
      <c r="Y17" s="363"/>
      <c r="Z17" s="363"/>
      <c r="AA17" s="363"/>
      <c r="AB17" s="363"/>
      <c r="AC17" s="363"/>
      <c r="AD17" s="364"/>
      <c r="AF17" s="363"/>
      <c r="AG17" s="363"/>
      <c r="AH17" s="363"/>
    </row>
    <row r="18" spans="1:40" s="368" customFormat="1" ht="28.5" customHeight="1" thickBot="1">
      <c r="A18" s="351"/>
      <c r="B18" s="351"/>
      <c r="C18" s="351"/>
      <c r="D18" s="351"/>
      <c r="E18" s="577" t="s">
        <v>87</v>
      </c>
      <c r="F18" s="577" t="s">
        <v>328</v>
      </c>
      <c r="G18" s="577" t="s">
        <v>320</v>
      </c>
      <c r="H18" s="577" t="s">
        <v>321</v>
      </c>
      <c r="I18" s="366" t="s">
        <v>274</v>
      </c>
      <c r="J18" s="623" t="s">
        <v>87</v>
      </c>
      <c r="K18" s="624"/>
      <c r="L18" s="625"/>
      <c r="M18" s="630" t="s">
        <v>240</v>
      </c>
      <c r="N18" s="631"/>
      <c r="O18" s="631"/>
      <c r="P18" s="632"/>
      <c r="Q18" s="630" t="s">
        <v>241</v>
      </c>
      <c r="R18" s="632"/>
      <c r="S18" s="623" t="s">
        <v>13</v>
      </c>
      <c r="T18" s="624"/>
      <c r="U18" s="624"/>
      <c r="V18" s="625"/>
      <c r="W18" s="367" t="s">
        <v>54</v>
      </c>
      <c r="X18" s="633" t="s">
        <v>105</v>
      </c>
      <c r="Y18" s="634"/>
      <c r="Z18" s="634"/>
      <c r="AA18" s="634"/>
      <c r="AB18" s="634"/>
      <c r="AC18" s="634"/>
      <c r="AD18" s="634"/>
      <c r="AF18" s="626" t="s">
        <v>344</v>
      </c>
      <c r="AG18" s="627"/>
      <c r="AH18" s="369"/>
      <c r="AI18" s="616" t="s">
        <v>269</v>
      </c>
      <c r="AJ18" s="617"/>
      <c r="AK18" s="618"/>
      <c r="AL18" s="370"/>
    </row>
    <row r="19" spans="1:40" s="368" customFormat="1" ht="30.75" customHeight="1" thickBot="1">
      <c r="A19" s="371" t="s">
        <v>201</v>
      </c>
      <c r="B19" s="372" t="s">
        <v>202</v>
      </c>
      <c r="C19" s="373"/>
      <c r="D19" s="374" t="s">
        <v>51</v>
      </c>
      <c r="E19" s="375"/>
      <c r="F19" s="375"/>
      <c r="G19" s="375"/>
      <c r="H19" s="375"/>
      <c r="I19" s="376"/>
      <c r="J19" s="377" t="s">
        <v>22</v>
      </c>
      <c r="K19" s="378" t="s">
        <v>21</v>
      </c>
      <c r="L19" s="379" t="s">
        <v>237</v>
      </c>
      <c r="M19" s="380" t="s">
        <v>21</v>
      </c>
      <c r="N19" s="381" t="s">
        <v>22</v>
      </c>
      <c r="O19" s="381" t="s">
        <v>322</v>
      </c>
      <c r="P19" s="379" t="s">
        <v>237</v>
      </c>
      <c r="Q19" s="382" t="s">
        <v>42</v>
      </c>
      <c r="R19" s="383" t="s">
        <v>242</v>
      </c>
      <c r="S19" s="384" t="s">
        <v>238</v>
      </c>
      <c r="T19" s="384" t="s">
        <v>316</v>
      </c>
      <c r="U19" s="384" t="s">
        <v>317</v>
      </c>
      <c r="V19" s="384" t="s">
        <v>239</v>
      </c>
      <c r="W19" s="385" t="s">
        <v>55</v>
      </c>
      <c r="X19" s="386" t="s">
        <v>318</v>
      </c>
      <c r="Y19" s="386" t="s">
        <v>108</v>
      </c>
      <c r="Z19" s="386" t="s">
        <v>110</v>
      </c>
      <c r="AA19" s="386" t="s">
        <v>109</v>
      </c>
      <c r="AB19" s="386" t="s">
        <v>111</v>
      </c>
      <c r="AC19" s="386" t="s">
        <v>106</v>
      </c>
      <c r="AD19" s="386" t="s">
        <v>87</v>
      </c>
      <c r="AF19" s="628"/>
      <c r="AG19" s="629"/>
      <c r="AH19" s="369"/>
      <c r="AI19" s="387" t="s">
        <v>246</v>
      </c>
      <c r="AJ19" s="388" t="s">
        <v>245</v>
      </c>
      <c r="AK19" s="389"/>
      <c r="AL19" s="370"/>
    </row>
    <row r="20" spans="1:40" s="368" customFormat="1" ht="18" customHeight="1">
      <c r="A20" s="494">
        <v>1</v>
      </c>
      <c r="B20" s="496">
        <v>10</v>
      </c>
      <c r="C20" s="390" t="str">
        <f>IF(ISNA(VLOOKUP(B20,Stammdaten!$A$10:$S$99,$C$17,0)),"",IF((VLOOKUP(B20,Stammdaten!$A$10:$S$99,$C$17,0)=0),"",(VLOOKUP(B20,Stammdaten!$A$10:$S$99,$C$17,0))))</f>
        <v>Material Zuschnitt</v>
      </c>
      <c r="D20" s="305"/>
      <c r="E20" s="498">
        <f>L20</f>
        <v>50</v>
      </c>
      <c r="F20" s="499">
        <f>P20</f>
        <v>0.5</v>
      </c>
      <c r="G20" s="499">
        <f>Q20</f>
        <v>1.2</v>
      </c>
      <c r="H20" s="499">
        <f>R20</f>
        <v>0.8</v>
      </c>
      <c r="I20" s="391">
        <f>IF(ISNA(VLOOKUP($B20,Stammdaten!$A$10:$S$99,I$17,0)),"",IF((VLOOKUP($B20,Stammdaten!$A$10:$S$99,I$17,0)=0),"",(VLOOKUP($B20,Stammdaten!$A$10:$S$99,I$17,0))))</f>
        <v>1</v>
      </c>
      <c r="J20" s="392">
        <f>VLOOKUP($B20,Stammdaten!$A$10:$S$99,J$17,0)</f>
        <v>37</v>
      </c>
      <c r="K20" s="393">
        <f>IF(ISNA(VLOOKUP($B20,Stammdaten!$A$10:$S$99,K$17,0)),"",IF((VLOOKUP($B20,Stammdaten!$A$10:$S$99,K$17,0)=0),"",(VLOOKUP($B20,Stammdaten!$A$10:$S$99,K$17,0))))</f>
        <v>10</v>
      </c>
      <c r="L20" s="394">
        <f>IF(SUM(J20:K20)=0,"",(ROUNDUP(SUM(J20:K20)/10,0)*10))</f>
        <v>50</v>
      </c>
      <c r="M20" s="395">
        <f>IF(ISNA(VLOOKUP($B20,Stammdaten!$A$10:$S$99,M$17,0)),"",IF((VLOOKUP($B20,Stammdaten!$A$10:$S$99,M$17,0)=0),"",(VLOOKUP($B20,Stammdaten!$A$10:$S$99,M$17,0))))</f>
        <v>0.5</v>
      </c>
      <c r="N20" s="395">
        <f>IF(ISNA(VLOOKUP($B20,Stammdaten!$A$10:$S$99,M$17,0)),"",VLOOKUP($B20,Stammdaten!$A$10:$S$99,N$17,0)*Fläche)</f>
        <v>0</v>
      </c>
      <c r="O20" s="395">
        <f>IF(ISNA(VLOOKUP($B20,Stammdaten!$A$10:$S$99,M$17,0)),"",VLOOKUP($B20,Stammdaten!$A$10:$S$99,O$17,0)/1000*$A$3*Fläche)</f>
        <v>0</v>
      </c>
      <c r="P20" s="395">
        <f>IF(SUM(M20:O20)=0,"",SUM(M20:O20))</f>
        <v>0.5</v>
      </c>
      <c r="Q20" s="396">
        <f>IF(ISNA(VLOOKUP($B20,Stammdaten!$A$10:$S$99,Q$17,0)),"",IF((VLOOKUP($B20,Stammdaten!$A$10:$S$99,Q$17,0)=0),"",(VLOOKUP($B20,Stammdaten!$A$10:$S$99,Q$17,0))))</f>
        <v>1.2</v>
      </c>
      <c r="R20" s="395">
        <f>IF(ISNA(VLOOKUP($B20,Stammdaten!$A$10:$S$99,R$17,0)),"",IF((VLOOKUP($B20,Stammdaten!$A$10:$S$99,R$17,0)=0),"",(VLOOKUP($B20,Stammdaten!$A$10:$S$99,R$17,0))))</f>
        <v>0.8</v>
      </c>
      <c r="S20" s="397" t="str">
        <f>IF(ISNA(VLOOKUP($B20,Stammdaten!$A$10:$S$99,S$17,0)),"",IF((VLOOKUP($B20,Stammdaten!$A$10:$S$99,S$17,0)=0),"",(VLOOKUP($B20,Stammdaten!$A$10:$S$99,S$17,0))))</f>
        <v/>
      </c>
      <c r="T20" s="398" t="str">
        <f>IF(ISNA(VLOOKUP($B20,Stammdaten!$A$10:$S$99,T$17,0)),"",IF((VLOOKUP($B20,Stammdaten!$A$10:$S$99,T$17,0)=0),"",(VLOOKUP($B20,Stammdaten!$A$10:$S$99,T$17,0))))</f>
        <v/>
      </c>
      <c r="U20" s="398" t="str">
        <f>IF(ISNA(VLOOKUP($B20,Stammdaten!$A$10:$S$99,U$17,0)),"",IF((VLOOKUP($B20,Stammdaten!$A$10:$S$99,U$17,0)=0),"",(VLOOKUP($B20,Stammdaten!$A$10:$S$99,U$17,0))))</f>
        <v/>
      </c>
      <c r="V20" s="398" t="str">
        <f>IF(ISNA(VLOOKUP($B20,Stammdaten!$A$10:$S$99,V$17,0)),"",IF((VLOOKUP($B20,Stammdaten!$A$10:$S$99,V$17,0)=0),"",(VLOOKUP($B20,Stammdaten!$A$10:$S$99,V$17,0))))</f>
        <v/>
      </c>
      <c r="W20" s="399" t="str">
        <f>IF(ISNA(VLOOKUP($B20,Stammdaten!$A$10:$S$99,W$17,0)),"",IF((VLOOKUP($B20,Stammdaten!$A$10:$S$99,W$17,0)=0),"",(VLOOKUP($B20,Stammdaten!$A$10:$S$99,W$17,0))))</f>
        <v>ZU-000 Zuschnitt</v>
      </c>
      <c r="X20" s="400" t="str">
        <f t="shared" ref="X20:X59" si="0">IF(B20=80,Umfang,"")</f>
        <v/>
      </c>
      <c r="Y20" s="401" t="str">
        <f>IF(OR(B20=30,B20=31),Ablauf!$D$5,"")</f>
        <v/>
      </c>
      <c r="Z20" s="401" t="str">
        <f>IF(OR(B20=30,B20=31),Ablauf!V20,"")</f>
        <v/>
      </c>
      <c r="AA20" s="401" t="str">
        <f>IF(OR(B20=61,B20=62),Ablauf!$D$7,"")</f>
        <v/>
      </c>
      <c r="AB20" s="401" t="str">
        <f>IF(OR(B20=61,B20=62),Ablauf!V20,"")</f>
        <v/>
      </c>
      <c r="AC20" s="402" t="str">
        <f t="shared" ref="AC20:AC59" si="1">IF(OR(B20=90,B20=91),ROUND(SUM($V$20:$V$59),2),"")</f>
        <v/>
      </c>
      <c r="AD20" s="403">
        <f>E20</f>
        <v>50</v>
      </c>
      <c r="AF20" s="500">
        <v>10</v>
      </c>
      <c r="AG20" s="404" t="str">
        <f>IF(ISNA(VLOOKUP(AF20,Stammdaten!$A$10:$S$99,$C$17,0)),"",IF((VLOOKUP(AF20,Stammdaten!$A$10:$S$99,$C$17,0)=0),"",(VLOOKUP(AF20,Stammdaten!$A$10:$S$99,$C$17,0))))</f>
        <v>Material Zuschnitt</v>
      </c>
      <c r="AH20" s="370"/>
      <c r="AI20" s="505">
        <v>10</v>
      </c>
      <c r="AJ20" s="506">
        <v>10</v>
      </c>
      <c r="AK20" s="507"/>
      <c r="AL20" s="370"/>
      <c r="AM20" s="406">
        <f>COUNTIF($B$20:$B$59,AF20)</f>
        <v>1</v>
      </c>
      <c r="AN20" s="406">
        <f t="shared" ref="AN20:AN59" si="2">SUMIF($B$20:$B$38,AF20,$T$20:$T$38)</f>
        <v>0</v>
      </c>
    </row>
    <row r="21" spans="1:40" s="368" customFormat="1" ht="18" customHeight="1">
      <c r="A21" s="495">
        <v>2</v>
      </c>
      <c r="B21" s="497">
        <v>11</v>
      </c>
      <c r="C21" s="390" t="str">
        <f>IF(ISNA(VLOOKUP(B21,Stammdaten!$A$10:$S$99,$C$17,0)),"",IF((VLOOKUP(B21,Stammdaten!$A$10:$S$99,$C$17,0)=0),"",(VLOOKUP(B21,Stammdaten!$A$10:$S$99,$C$17,0))))</f>
        <v>Preforming</v>
      </c>
      <c r="D21" s="306"/>
      <c r="E21" s="498">
        <f t="shared" ref="E21:E59" si="3">L21</f>
        <v>110</v>
      </c>
      <c r="F21" s="499">
        <f t="shared" ref="F21:F59" si="4">P21</f>
        <v>2</v>
      </c>
      <c r="G21" s="499">
        <f t="shared" ref="G21:G59" si="5">Q21</f>
        <v>2</v>
      </c>
      <c r="H21" s="499" t="str">
        <f t="shared" ref="H21:H59" si="6">R21</f>
        <v/>
      </c>
      <c r="I21" s="391">
        <f>IF(ISNA(VLOOKUP($B21,Stammdaten!$A$10:$S$99,I$17,0)),"",IF((VLOOKUP($B21,Stammdaten!$A$10:$S$99,I$17,0)=0),"",(VLOOKUP($B21,Stammdaten!$A$10:$S$99,I$17,0))))</f>
        <v>1</v>
      </c>
      <c r="J21" s="392">
        <f>IF(ISNA(VLOOKUP($B21,Stammdaten!$A$10:$S$99,J$17,0)),"",IF((VLOOKUP($B21,Stammdaten!$A$10:$S$99,J$17,0)=0),"",(VLOOKUP($B21,Stammdaten!$A$10:$S$99,J$17,0))))</f>
        <v>92.5</v>
      </c>
      <c r="K21" s="393">
        <f>IF(ISNA(VLOOKUP($B21,Stammdaten!$A$10:$S$99,K$17,0)),"",IF((VLOOKUP($B21,Stammdaten!$A$10:$S$99,K$17,0)=0),"",(VLOOKUP($B21,Stammdaten!$A$10:$S$99,K$17,0))))</f>
        <v>10</v>
      </c>
      <c r="L21" s="394">
        <f t="shared" ref="L21:L59" si="7">IF(SUM(J21:K21)=0,"",(ROUNDUP(SUM(J21:K21)/10,0)*10))</f>
        <v>110</v>
      </c>
      <c r="M21" s="395">
        <f>IF(ISNA(VLOOKUP($B21,Stammdaten!$A$10:$S$99,M$17,0)),"",IF((VLOOKUP($B21,Stammdaten!$A$10:$S$99,M$17,0)=0),"",(VLOOKUP($B21,Stammdaten!$A$10:$S$99,M$17,0))))</f>
        <v>2</v>
      </c>
      <c r="N21" s="395">
        <f>IF(ISNA(VLOOKUP($B21,Stammdaten!$A$10:$S$99,M$17,0)),"",VLOOKUP($B21,Stammdaten!$A$10:$S$99,N$17,0)*Fläche)</f>
        <v>0</v>
      </c>
      <c r="O21" s="395">
        <f>IF(ISNA(VLOOKUP($B21,Stammdaten!$A$10:$S$99,M$17,0)),"",VLOOKUP($B21,Stammdaten!$A$10:$S$99,O$17,0)/1000*$A$3*Fläche)</f>
        <v>0</v>
      </c>
      <c r="P21" s="395">
        <f>IF(SUM(M21:O21)=0,"",SUM(M21:O21))</f>
        <v>2</v>
      </c>
      <c r="Q21" s="396">
        <f>IF(ISNA(VLOOKUP($B21,Stammdaten!$A$10:$S$99,Q$17,0)),"",IF((VLOOKUP($B21,Stammdaten!$A$10:$S$99,Q$17,0)=0),"",(VLOOKUP($B21,Stammdaten!$A$10:$S$99,Q$17,0))))</f>
        <v>2</v>
      </c>
      <c r="R21" s="395" t="str">
        <f>IF(ISNA(VLOOKUP($B21,Stammdaten!$A$10:$S$99,R$17,0)),"",IF((VLOOKUP($B21,Stammdaten!$A$10:$S$99,R$17,0)=0),"",(VLOOKUP($B21,Stammdaten!$A$10:$S$99,R$17,0))))</f>
        <v/>
      </c>
      <c r="S21" s="397" t="str">
        <f>IF(ISNA(VLOOKUP($B21,Stammdaten!$A$10:$S$99,S$17,0)),"",IF((VLOOKUP($B21,Stammdaten!$A$10:$S$99,S$17,0)=0),"",(VLOOKUP($B21,Stammdaten!$A$10:$S$99,S$17,0))))</f>
        <v/>
      </c>
      <c r="T21" s="398" t="str">
        <f>IF(ISNA(VLOOKUP($B21,Stammdaten!$A$10:$S$99,T$17,0)),"",IF((VLOOKUP($B21,Stammdaten!$A$10:$S$99,T$17,0)=0),"",(VLOOKUP($B21,Stammdaten!$A$10:$S$99,T$17,0))))</f>
        <v/>
      </c>
      <c r="U21" s="398" t="str">
        <f>IF(ISNA(VLOOKUP($B21,Stammdaten!$A$10:$S$99,U$17,0)),"",IF((VLOOKUP($B21,Stammdaten!$A$10:$S$99,U$17,0)=0),"",(VLOOKUP($B21,Stammdaten!$A$10:$S$99,U$17,0))))</f>
        <v/>
      </c>
      <c r="V21" s="398" t="str">
        <f>IF(ISNA(VLOOKUP($B21,Stammdaten!$A$10:$S$99,V$17,0)),"",IF((VLOOKUP($B21,Stammdaten!$A$10:$S$99,V$17,0)=0),"",(VLOOKUP($B21,Stammdaten!$A$10:$S$99,V$17,0))))</f>
        <v/>
      </c>
      <c r="W21" s="399" t="str">
        <f>IF(ISNA(VLOOKUP($B21,Stammdaten!$A$10:$S$99,W$17,0)),"",IF((VLOOKUP($B21,Stammdaten!$A$10:$S$99,W$17,0)=0),"",(VLOOKUP($B21,Stammdaten!$A$10:$S$99,W$17,0))))</f>
        <v>PR-000 Preforming</v>
      </c>
      <c r="X21" s="400" t="str">
        <f t="shared" si="0"/>
        <v/>
      </c>
      <c r="Y21" s="401" t="str">
        <f>IF(OR(B21=30,B21=31),Ablauf!$D$5,"")</f>
        <v/>
      </c>
      <c r="Z21" s="401" t="str">
        <f>IF(OR(B21=30,B21=31),Ablauf!V21,"")</f>
        <v/>
      </c>
      <c r="AA21" s="401" t="str">
        <f>IF(OR(B21=61,B21=62),Ablauf!$D$7,"")</f>
        <v/>
      </c>
      <c r="AB21" s="401" t="str">
        <f>IF(OR(B21=61,B21=62),Ablauf!V21,"")</f>
        <v/>
      </c>
      <c r="AC21" s="402" t="str">
        <f t="shared" si="1"/>
        <v/>
      </c>
      <c r="AD21" s="403">
        <f t="shared" ref="AD21:AD59" si="8">E21</f>
        <v>110</v>
      </c>
      <c r="AF21" s="501">
        <v>11</v>
      </c>
      <c r="AG21" s="405" t="str">
        <f>IF(ISNA(VLOOKUP(AF21,Stammdaten!$A$10:$S$99,$C$17,0)),"",IF((VLOOKUP(AF21,Stammdaten!$A$10:$S$99,$C$17,0)=0),"",(VLOOKUP(AF21,Stammdaten!$A$10:$S$99,$C$17,0))))</f>
        <v>Preforming</v>
      </c>
      <c r="AH21" s="370"/>
      <c r="AI21" s="505">
        <v>11</v>
      </c>
      <c r="AJ21" s="506">
        <v>11</v>
      </c>
      <c r="AK21" s="507"/>
      <c r="AL21" s="370"/>
      <c r="AM21" s="406">
        <f t="shared" ref="AM21:AM59" si="9">COUNTIF($B$20:$B$59,AF21)</f>
        <v>1</v>
      </c>
      <c r="AN21" s="406">
        <f t="shared" si="2"/>
        <v>0</v>
      </c>
    </row>
    <row r="22" spans="1:40" s="368" customFormat="1" ht="18" customHeight="1">
      <c r="A22" s="495">
        <v>3</v>
      </c>
      <c r="B22" s="497">
        <v>12</v>
      </c>
      <c r="C22" s="390" t="str">
        <f>IF(ISNA(VLOOKUP(B22,Stammdaten!$A$10:$S$99,$C$17,0)),"",IF((VLOOKUP(B22,Stammdaten!$A$10:$S$99,$C$17,0)=0),"",(VLOOKUP(B22,Stammdaten!$A$10:$S$99,$C$17,0))))</f>
        <v>Formen reinigen</v>
      </c>
      <c r="D22" s="306"/>
      <c r="E22" s="498">
        <f t="shared" si="3"/>
        <v>40</v>
      </c>
      <c r="F22" s="499">
        <f t="shared" si="4"/>
        <v>4.7</v>
      </c>
      <c r="G22" s="499">
        <f t="shared" si="5"/>
        <v>0.2</v>
      </c>
      <c r="H22" s="499" t="str">
        <f t="shared" si="6"/>
        <v/>
      </c>
      <c r="I22" s="391">
        <f>IF(ISNA(VLOOKUP($B22,Stammdaten!$A$10:$S$99,I$17,0)),"",IF((VLOOKUP($B22,Stammdaten!$A$10:$S$99,I$17,0)=0),"",(VLOOKUP($B22,Stammdaten!$A$10:$S$99,I$17,0))))</f>
        <v>2</v>
      </c>
      <c r="J22" s="392">
        <f>IF(ISNA(VLOOKUP($B22,Stammdaten!$A$10:$S$99,J$17,0)),"",IF((VLOOKUP($B22,Stammdaten!$A$10:$S$99,J$17,0)=0),"",(VLOOKUP($B22,Stammdaten!$A$10:$S$99,J$17,0))))</f>
        <v>29.6</v>
      </c>
      <c r="K22" s="393">
        <f>IF(ISNA(VLOOKUP($B22,Stammdaten!$A$10:$S$99,K$17,0)),"",IF((VLOOKUP($B22,Stammdaten!$A$10:$S$99,K$17,0)=0),"",(VLOOKUP($B22,Stammdaten!$A$10:$S$99,K$17,0))))</f>
        <v>5</v>
      </c>
      <c r="L22" s="394">
        <f t="shared" si="7"/>
        <v>40</v>
      </c>
      <c r="M22" s="395">
        <f>IF(ISNA(VLOOKUP($B22,Stammdaten!$A$10:$S$99,M$17,0)),"",IF((VLOOKUP($B22,Stammdaten!$A$10:$S$99,M$17,0)=0),"",(VLOOKUP($B22,Stammdaten!$A$10:$S$99,M$17,0))))</f>
        <v>1</v>
      </c>
      <c r="N22" s="395">
        <f>IF(ISNA(VLOOKUP($B22,Stammdaten!$A$10:$S$99,M$17,0)),"",VLOOKUP($B22,Stammdaten!$A$10:$S$99,N$17,0)*Fläche)</f>
        <v>3.7</v>
      </c>
      <c r="O22" s="395">
        <f>IF(ISNA(VLOOKUP($B22,Stammdaten!$A$10:$S$99,M$17,0)),"",VLOOKUP($B22,Stammdaten!$A$10:$S$99,O$17,0)/1000*$A$3*Fläche)</f>
        <v>0</v>
      </c>
      <c r="P22" s="395">
        <f t="shared" ref="P22:P36" si="10">IF(SUM(M22:O22)=0,"",SUM(M22:O22))</f>
        <v>4.7</v>
      </c>
      <c r="Q22" s="396">
        <f>IF(ISNA(VLOOKUP($B22,Stammdaten!$A$10:$S$99,Q$17,0)),"",IF((VLOOKUP($B22,Stammdaten!$A$10:$S$99,Q$17,0)=0),"",(VLOOKUP($B22,Stammdaten!$A$10:$S$99,Q$17,0))))</f>
        <v>0.2</v>
      </c>
      <c r="R22" s="395" t="str">
        <f>IF(ISNA(VLOOKUP($B22,Stammdaten!$A$10:$S$99,R$17,0)),"",IF((VLOOKUP($B22,Stammdaten!$A$10:$S$99,R$17,0)=0),"",(VLOOKUP($B22,Stammdaten!$A$10:$S$99,R$17,0))))</f>
        <v/>
      </c>
      <c r="S22" s="397" t="str">
        <f>IF(ISNA(VLOOKUP($B22,Stammdaten!$A$10:$S$99,S$17,0)),"",IF((VLOOKUP($B22,Stammdaten!$A$10:$S$99,S$17,0)=0),"",(VLOOKUP($B22,Stammdaten!$A$10:$S$99,S$17,0))))</f>
        <v/>
      </c>
      <c r="T22" s="398" t="str">
        <f>IF(ISNA(VLOOKUP($B22,Stammdaten!$A$10:$S$99,T$17,0)),"",IF((VLOOKUP($B22,Stammdaten!$A$10:$S$99,T$17,0)=0),"",(VLOOKUP($B22,Stammdaten!$A$10:$S$99,T$17,0))))</f>
        <v/>
      </c>
      <c r="U22" s="398" t="str">
        <f>IF(ISNA(VLOOKUP($B22,Stammdaten!$A$10:$S$99,U$17,0)),"",IF((VLOOKUP($B22,Stammdaten!$A$10:$S$99,U$17,0)=0),"",(VLOOKUP($B22,Stammdaten!$A$10:$S$99,U$17,0))))</f>
        <v/>
      </c>
      <c r="V22" s="398" t="str">
        <f>IF(ISNA(VLOOKUP($B22,Stammdaten!$A$10:$S$99,V$17,0)),"",IF((VLOOKUP($B22,Stammdaten!$A$10:$S$99,V$17,0)=0),"",(VLOOKUP($B22,Stammdaten!$A$10:$S$99,V$17,0))))</f>
        <v/>
      </c>
      <c r="W22" s="399" t="str">
        <f>IF(ISNA(VLOOKUP($B22,Stammdaten!$A$10:$S$99,W$17,0)),"",IF((VLOOKUP($B22,Stammdaten!$A$10:$S$99,W$17,0)=0),"",(VLOOKUP($B22,Stammdaten!$A$10:$S$99,W$17,0))))</f>
        <v>FV-000 Formvorbereitung</v>
      </c>
      <c r="X22" s="400" t="str">
        <f t="shared" si="0"/>
        <v/>
      </c>
      <c r="Y22" s="401" t="str">
        <f>IF(OR(B22=30,B22=31),Ablauf!$D$5,"")</f>
        <v/>
      </c>
      <c r="Z22" s="401" t="str">
        <f>IF(OR(B22=30,B22=31),Ablauf!V22,"")</f>
        <v/>
      </c>
      <c r="AA22" s="401" t="str">
        <f>IF(OR(B22=61,B22=62),Ablauf!$D$7,"")</f>
        <v/>
      </c>
      <c r="AB22" s="401" t="str">
        <f>IF(OR(B22=61,B22=62),Ablauf!V22,"")</f>
        <v/>
      </c>
      <c r="AC22" s="402" t="str">
        <f t="shared" si="1"/>
        <v/>
      </c>
      <c r="AD22" s="403">
        <f t="shared" si="8"/>
        <v>40</v>
      </c>
      <c r="AF22" s="501">
        <v>12</v>
      </c>
      <c r="AG22" s="405" t="str">
        <f>IF(ISNA(VLOOKUP(AF22,Stammdaten!$A$10:$S$99,$C$17,0)),"",IF((VLOOKUP(AF22,Stammdaten!$A$10:$S$99,$C$17,0)=0),"",(VLOOKUP(AF22,Stammdaten!$A$10:$S$99,$C$17,0))))</f>
        <v>Formen reinigen</v>
      </c>
      <c r="AH22" s="370"/>
      <c r="AI22" s="505">
        <v>12</v>
      </c>
      <c r="AJ22" s="506">
        <v>12</v>
      </c>
      <c r="AK22" s="507"/>
      <c r="AL22" s="370"/>
      <c r="AM22" s="406">
        <f t="shared" si="9"/>
        <v>1</v>
      </c>
      <c r="AN22" s="406">
        <f t="shared" si="2"/>
        <v>0</v>
      </c>
    </row>
    <row r="23" spans="1:40" s="368" customFormat="1" ht="18" customHeight="1">
      <c r="A23" s="495">
        <v>4</v>
      </c>
      <c r="B23" s="497">
        <v>13</v>
      </c>
      <c r="C23" s="390" t="str">
        <f>IF(ISNA(VLOOKUP(B23,Stammdaten!$A$10:$S$99,$C$17,0)),"",IF((VLOOKUP(B23,Stammdaten!$A$10:$S$99,$C$17,0)=0),"",(VLOOKUP(B23,Stammdaten!$A$10:$S$99,$C$17,0))))</f>
        <v>Formen eintrennen u. polieren</v>
      </c>
      <c r="D23" s="306"/>
      <c r="E23" s="498">
        <f t="shared" si="3"/>
        <v>40</v>
      </c>
      <c r="F23" s="499">
        <f t="shared" si="4"/>
        <v>10.860000000000001</v>
      </c>
      <c r="G23" s="499">
        <f t="shared" si="5"/>
        <v>0.2</v>
      </c>
      <c r="H23" s="499" t="str">
        <f t="shared" si="6"/>
        <v/>
      </c>
      <c r="I23" s="391">
        <f>IF(ISNA(VLOOKUP($B23,Stammdaten!$A$10:$S$99,I$17,0)),"",IF((VLOOKUP($B23,Stammdaten!$A$10:$S$99,I$17,0)=0),"",(VLOOKUP($B23,Stammdaten!$A$10:$S$99,I$17,0))))</f>
        <v>2</v>
      </c>
      <c r="J23" s="392">
        <f>IF(ISNA(VLOOKUP($B23,Stammdaten!$A$10:$S$99,J$17,0)),"",IF((VLOOKUP($B23,Stammdaten!$A$10:$S$99,J$17,0)=0),"",(VLOOKUP($B23,Stammdaten!$A$10:$S$99,J$17,0))))</f>
        <v>33.300000000000004</v>
      </c>
      <c r="K23" s="393">
        <f>IF(ISNA(VLOOKUP($B23,Stammdaten!$A$10:$S$99,K$17,0)),"",IF((VLOOKUP($B23,Stammdaten!$A$10:$S$99,K$17,0)=0),"",(VLOOKUP($B23,Stammdaten!$A$10:$S$99,K$17,0))))</f>
        <v>5</v>
      </c>
      <c r="L23" s="394">
        <f t="shared" si="7"/>
        <v>40</v>
      </c>
      <c r="M23" s="395">
        <f>IF(ISNA(VLOOKUP($B23,Stammdaten!$A$10:$S$99,M$17,0)),"",IF((VLOOKUP($B23,Stammdaten!$A$10:$S$99,M$17,0)=0),"",(VLOOKUP($B23,Stammdaten!$A$10:$S$99,M$17,0))))</f>
        <v>0.5</v>
      </c>
      <c r="N23" s="395">
        <f>IF(ISNA(VLOOKUP($B23,Stammdaten!$A$10:$S$99,M$17,0)),"",VLOOKUP($B23,Stammdaten!$A$10:$S$99,N$17,0)*Fläche)</f>
        <v>10.360000000000001</v>
      </c>
      <c r="O23" s="395">
        <f>IF(ISNA(VLOOKUP($B23,Stammdaten!$A$10:$S$99,M$17,0)),"",VLOOKUP($B23,Stammdaten!$A$10:$S$99,O$17,0)/1000*$A$3*Fläche)</f>
        <v>0</v>
      </c>
      <c r="P23" s="395">
        <f>IF(SUM(M23:O23)=0,"",SUM(M23:O23))</f>
        <v>10.860000000000001</v>
      </c>
      <c r="Q23" s="396">
        <f>IF(ISNA(VLOOKUP($B23,Stammdaten!$A$10:$S$99,Q$17,0)),"",IF((VLOOKUP($B23,Stammdaten!$A$10:$S$99,Q$17,0)=0),"",(VLOOKUP($B23,Stammdaten!$A$10:$S$99,Q$17,0))))</f>
        <v>0.2</v>
      </c>
      <c r="R23" s="395" t="str">
        <f>IF(ISNA(VLOOKUP($B23,Stammdaten!$A$10:$S$99,R$17,0)),"",IF((VLOOKUP($B23,Stammdaten!$A$10:$S$99,R$17,0)=0),"",(VLOOKUP($B23,Stammdaten!$A$10:$S$99,R$17,0))))</f>
        <v/>
      </c>
      <c r="S23" s="397" t="str">
        <f>IF(ISNA(VLOOKUP($B23,Stammdaten!$A$10:$S$99,S$17,0)),"",IF((VLOOKUP($B23,Stammdaten!$A$10:$S$99,S$17,0)=0),"",(VLOOKUP($B23,Stammdaten!$A$10:$S$99,S$17,0))))</f>
        <v/>
      </c>
      <c r="T23" s="398" t="str">
        <f>IF(ISNA(VLOOKUP($B23,Stammdaten!$A$10:$S$99,T$17,0)),"",IF((VLOOKUP($B23,Stammdaten!$A$10:$S$99,T$17,0)=0),"",(VLOOKUP($B23,Stammdaten!$A$10:$S$99,T$17,0))))</f>
        <v/>
      </c>
      <c r="U23" s="398" t="str">
        <f>IF(ISNA(VLOOKUP($B23,Stammdaten!$A$10:$S$99,U$17,0)),"",IF((VLOOKUP($B23,Stammdaten!$A$10:$S$99,U$17,0)=0),"",(VLOOKUP($B23,Stammdaten!$A$10:$S$99,U$17,0))))</f>
        <v/>
      </c>
      <c r="V23" s="398" t="str">
        <f>IF(ISNA(VLOOKUP($B23,Stammdaten!$A$10:$S$99,V$17,0)),"",IF((VLOOKUP($B23,Stammdaten!$A$10:$S$99,V$17,0)=0),"",(VLOOKUP($B23,Stammdaten!$A$10:$S$99,V$17,0))))</f>
        <v/>
      </c>
      <c r="W23" s="399" t="str">
        <f>IF(ISNA(VLOOKUP($B23,Stammdaten!$A$10:$S$99,W$17,0)),"",IF((VLOOKUP($B23,Stammdaten!$A$10:$S$99,W$17,0)=0),"",(VLOOKUP($B23,Stammdaten!$A$10:$S$99,W$17,0))))</f>
        <v>FV-000 Formvorbereitung</v>
      </c>
      <c r="X23" s="400" t="str">
        <f t="shared" si="0"/>
        <v/>
      </c>
      <c r="Y23" s="401" t="str">
        <f>IF(OR(B23=30,B23=31),Ablauf!$D$5,"")</f>
        <v/>
      </c>
      <c r="Z23" s="401" t="str">
        <f>IF(OR(B23=30,B23=31),Ablauf!V23,"")</f>
        <v/>
      </c>
      <c r="AA23" s="401" t="str">
        <f>IF(OR(B23=61,B23=62),Ablauf!$D$7,"")</f>
        <v/>
      </c>
      <c r="AB23" s="401" t="str">
        <f>IF(OR(B23=61,B23=62),Ablauf!V23,"")</f>
        <v/>
      </c>
      <c r="AC23" s="402" t="str">
        <f t="shared" si="1"/>
        <v/>
      </c>
      <c r="AD23" s="403">
        <f t="shared" si="8"/>
        <v>40</v>
      </c>
      <c r="AF23" s="501">
        <v>13</v>
      </c>
      <c r="AG23" s="405" t="str">
        <f>IF(ISNA(VLOOKUP(AF23,Stammdaten!$A$10:$S$99,$C$17,0)),"",IF((VLOOKUP(AF23,Stammdaten!$A$10:$S$99,$C$17,0)=0),"",(VLOOKUP(AF23,Stammdaten!$A$10:$S$99,$C$17,0))))</f>
        <v>Formen eintrennen u. polieren</v>
      </c>
      <c r="AH23" s="370"/>
      <c r="AI23" s="505">
        <v>13</v>
      </c>
      <c r="AJ23" s="506">
        <v>13</v>
      </c>
      <c r="AK23" s="507"/>
      <c r="AL23" s="370"/>
      <c r="AM23" s="406">
        <f t="shared" si="9"/>
        <v>1</v>
      </c>
      <c r="AN23" s="406">
        <f t="shared" si="2"/>
        <v>0</v>
      </c>
    </row>
    <row r="24" spans="1:40" s="368" customFormat="1" ht="18" customHeight="1">
      <c r="A24" s="495">
        <v>5</v>
      </c>
      <c r="B24" s="497">
        <v>31</v>
      </c>
      <c r="C24" s="390" t="str">
        <f>IF(ISNA(VLOOKUP(B24,Stammdaten!$A$10:$S$99,$C$17,0)),"",IF((VLOOKUP(B24,Stammdaten!$A$10:$S$99,$C$17,0)=0),"",(VLOOKUP(B24,Stammdaten!$A$10:$S$99,$C$17,0))))</f>
        <v>Gelcoat streichen</v>
      </c>
      <c r="D24" s="306"/>
      <c r="E24" s="498">
        <f t="shared" si="3"/>
        <v>40</v>
      </c>
      <c r="F24" s="499">
        <f t="shared" si="4"/>
        <v>33.800000000000004</v>
      </c>
      <c r="G24" s="499">
        <f t="shared" si="5"/>
        <v>1</v>
      </c>
      <c r="H24" s="499">
        <f t="shared" si="6"/>
        <v>1</v>
      </c>
      <c r="I24" s="391">
        <f>IF(ISNA(VLOOKUP($B24,Stammdaten!$A$10:$S$99,I$17,0)),"",IF((VLOOKUP($B24,Stammdaten!$A$10:$S$99,I$17,0)=0),"",(VLOOKUP($B24,Stammdaten!$A$10:$S$99,I$17,0))))</f>
        <v>2</v>
      </c>
      <c r="J24" s="392">
        <f>IF(ISNA(VLOOKUP($B24,Stammdaten!$A$10:$S$99,J$17,0)),"",IF((VLOOKUP($B24,Stammdaten!$A$10:$S$99,J$17,0)=0),"",(VLOOKUP($B24,Stammdaten!$A$10:$S$99,J$17,0))))</f>
        <v>29.6</v>
      </c>
      <c r="K24" s="393">
        <f>IF(ISNA(VLOOKUP($B24,Stammdaten!$A$10:$S$99,K$17,0)),"",IF((VLOOKUP($B24,Stammdaten!$A$10:$S$99,K$17,0)=0),"",(VLOOKUP($B24,Stammdaten!$A$10:$S$99,K$17,0))))</f>
        <v>5</v>
      </c>
      <c r="L24" s="394">
        <f t="shared" si="7"/>
        <v>40</v>
      </c>
      <c r="M24" s="395">
        <f>IF(ISNA(VLOOKUP($B24,Stammdaten!$A$10:$S$99,M$17,0)),"",IF((VLOOKUP($B24,Stammdaten!$A$10:$S$99,M$17,0)=0),"",(VLOOKUP($B24,Stammdaten!$A$10:$S$99,M$17,0))))</f>
        <v>0.5</v>
      </c>
      <c r="N24" s="395">
        <f>IF(ISNA(VLOOKUP($B24,Stammdaten!$A$10:$S$99,M$17,0)),"",VLOOKUP($B24,Stammdaten!$A$10:$S$99,N$17,0)*Fläche)</f>
        <v>33.300000000000004</v>
      </c>
      <c r="O24" s="395">
        <f>IF(ISNA(VLOOKUP($B24,Stammdaten!$A$10:$S$99,M$17,0)),"",VLOOKUP($B24,Stammdaten!$A$10:$S$99,O$17,0)/1000*$A$3*Fläche)</f>
        <v>0</v>
      </c>
      <c r="P24" s="395">
        <f t="shared" si="10"/>
        <v>33.800000000000004</v>
      </c>
      <c r="Q24" s="396">
        <f>IF(ISNA(VLOOKUP($B24,Stammdaten!$A$10:$S$99,Q$17,0)),"",IF((VLOOKUP($B24,Stammdaten!$A$10:$S$99,Q$17,0)=0),"",(VLOOKUP($B24,Stammdaten!$A$10:$S$99,Q$17,0))))</f>
        <v>1</v>
      </c>
      <c r="R24" s="395">
        <f>IF(ISNA(VLOOKUP($B24,Stammdaten!$A$10:$S$99,R$17,0)),"",IF((VLOOKUP($B24,Stammdaten!$A$10:$S$99,R$17,0)=0),"",(VLOOKUP($B24,Stammdaten!$A$10:$S$99,R$17,0))))</f>
        <v>1</v>
      </c>
      <c r="S24" s="397">
        <f>IF(ISNA(VLOOKUP($B24,Stammdaten!$A$10:$S$99,S$17,0)),"",IF((VLOOKUP($B24,Stammdaten!$A$10:$S$99,S$17,0)=0),"",(VLOOKUP($B24,Stammdaten!$A$10:$S$99,S$17,0))))</f>
        <v>0.5</v>
      </c>
      <c r="T24" s="398" t="str">
        <f>IF(ISNA(VLOOKUP($B24,Stammdaten!$A$10:$S$99,T$17,0)),"",IF((VLOOKUP($B24,Stammdaten!$A$10:$S$99,T$17,0)=0),"",(VLOOKUP($B24,Stammdaten!$A$10:$S$99,T$17,0))))</f>
        <v/>
      </c>
      <c r="U24" s="398" t="str">
        <f>IF(ISNA(VLOOKUP($B24,Stammdaten!$A$10:$S$99,U$17,0)),"",IF((VLOOKUP($B24,Stammdaten!$A$10:$S$99,U$17,0)=0),"",(VLOOKUP($B24,Stammdaten!$A$10:$S$99,U$17,0))))</f>
        <v/>
      </c>
      <c r="V24" s="398">
        <f>IF(ISNA(VLOOKUP($B24,Stammdaten!$A$10:$S$99,V$17,0)),"",IF((VLOOKUP($B24,Stammdaten!$A$10:$S$99,V$17,0)=0),"",(VLOOKUP($B24,Stammdaten!$A$10:$S$99,V$17,0))))</f>
        <v>0.8</v>
      </c>
      <c r="W24" s="399" t="str">
        <f>IF(ISNA(VLOOKUP($B24,Stammdaten!$A$10:$S$99,W$17,0)),"",IF((VLOOKUP($B24,Stammdaten!$A$10:$S$99,W$17,0)=0),"",(VLOOKUP($B24,Stammdaten!$A$10:$S$99,W$17,0))))</f>
        <v>CO-000 Coating</v>
      </c>
      <c r="X24" s="400" t="str">
        <f t="shared" si="0"/>
        <v/>
      </c>
      <c r="Y24" s="401" t="str">
        <f>IF(OR(B24=30,B24=31),Ablauf!$D$5,"")</f>
        <v>RAL 7035</v>
      </c>
      <c r="Z24" s="401">
        <f>IF(OR(B24=30,B24=31),Ablauf!V24,"")</f>
        <v>0.8</v>
      </c>
      <c r="AA24" s="401" t="str">
        <f>IF(OR(B24=61,B24=62),Ablauf!$D$7,"")</f>
        <v/>
      </c>
      <c r="AB24" s="401" t="str">
        <f>IF(OR(B24=61,B24=62),Ablauf!V24,"")</f>
        <v/>
      </c>
      <c r="AC24" s="402" t="str">
        <f t="shared" si="1"/>
        <v/>
      </c>
      <c r="AD24" s="403">
        <f t="shared" si="8"/>
        <v>40</v>
      </c>
      <c r="AF24" s="501">
        <v>14</v>
      </c>
      <c r="AG24" s="405" t="str">
        <f>IF(ISNA(VLOOKUP(AF24,Stammdaten!$A$10:$S$99,$C$17,0)),"",IF((VLOOKUP(AF24,Stammdaten!$A$10:$S$99,$C$17,0)=0),"",(VLOOKUP(AF24,Stammdaten!$A$10:$S$99,$C$17,0))))</f>
        <v>Entformen</v>
      </c>
      <c r="AH24" s="370"/>
      <c r="AI24" s="505">
        <v>31</v>
      </c>
      <c r="AJ24" s="506">
        <v>30</v>
      </c>
      <c r="AK24" s="507"/>
      <c r="AL24" s="370"/>
      <c r="AM24" s="406">
        <f t="shared" si="9"/>
        <v>1</v>
      </c>
      <c r="AN24" s="406">
        <f t="shared" si="2"/>
        <v>0</v>
      </c>
    </row>
    <row r="25" spans="1:40" s="368" customFormat="1" ht="18" customHeight="1">
      <c r="A25" s="495">
        <v>6</v>
      </c>
      <c r="B25" s="497">
        <v>31</v>
      </c>
      <c r="C25" s="390" t="str">
        <f>IF(ISNA(VLOOKUP(B25,Stammdaten!$A$10:$S$99,$C$17,0)),"",IF((VLOOKUP(B25,Stammdaten!$A$10:$S$99,$C$17,0)=0),"",(VLOOKUP(B25,Stammdaten!$A$10:$S$99,$C$17,0))))</f>
        <v>Gelcoat streichen</v>
      </c>
      <c r="D25" s="306"/>
      <c r="E25" s="498">
        <f t="shared" si="3"/>
        <v>40</v>
      </c>
      <c r="F25" s="499">
        <f t="shared" si="4"/>
        <v>33.800000000000004</v>
      </c>
      <c r="G25" s="499">
        <f t="shared" si="5"/>
        <v>1</v>
      </c>
      <c r="H25" s="499">
        <f t="shared" si="6"/>
        <v>1</v>
      </c>
      <c r="I25" s="391">
        <f>IF(ISNA(VLOOKUP($B25,Stammdaten!$A$10:$S$99,I$17,0)),"",IF((VLOOKUP($B25,Stammdaten!$A$10:$S$99,I$17,0)=0),"",(VLOOKUP($B25,Stammdaten!$A$10:$S$99,I$17,0))))</f>
        <v>2</v>
      </c>
      <c r="J25" s="392">
        <f>IF(ISNA(VLOOKUP($B25,Stammdaten!$A$10:$S$99,J$17,0)),"",IF((VLOOKUP($B25,Stammdaten!$A$10:$S$99,J$17,0)=0),"",(VLOOKUP($B25,Stammdaten!$A$10:$S$99,J$17,0))))</f>
        <v>29.6</v>
      </c>
      <c r="K25" s="393">
        <f>IF(ISNA(VLOOKUP($B25,Stammdaten!$A$10:$S$99,K$17,0)),"",IF((VLOOKUP($B25,Stammdaten!$A$10:$S$99,K$17,0)=0),"",(VLOOKUP($B25,Stammdaten!$A$10:$S$99,K$17,0))))</f>
        <v>5</v>
      </c>
      <c r="L25" s="394">
        <f t="shared" si="7"/>
        <v>40</v>
      </c>
      <c r="M25" s="395">
        <f>IF(ISNA(VLOOKUP($B25,Stammdaten!$A$10:$S$99,M$17,0)),"",IF((VLOOKUP($B25,Stammdaten!$A$10:$S$99,M$17,0)=0),"",(VLOOKUP($B25,Stammdaten!$A$10:$S$99,M$17,0))))</f>
        <v>0.5</v>
      </c>
      <c r="N25" s="395">
        <f>IF(ISNA(VLOOKUP($B25,Stammdaten!$A$10:$S$99,M$17,0)),"",VLOOKUP($B25,Stammdaten!$A$10:$S$99,N$17,0)*Fläche)</f>
        <v>33.300000000000004</v>
      </c>
      <c r="O25" s="395">
        <f>IF(ISNA(VLOOKUP($B25,Stammdaten!$A$10:$S$99,M$17,0)),"",VLOOKUP($B25,Stammdaten!$A$10:$S$99,O$17,0)/1000*$A$3*Fläche)</f>
        <v>0</v>
      </c>
      <c r="P25" s="395">
        <f t="shared" si="10"/>
        <v>33.800000000000004</v>
      </c>
      <c r="Q25" s="396">
        <f>IF(ISNA(VLOOKUP($B25,Stammdaten!$A$10:$S$99,Q$17,0)),"",IF((VLOOKUP($B25,Stammdaten!$A$10:$S$99,Q$17,0)=0),"",(VLOOKUP($B25,Stammdaten!$A$10:$S$99,Q$17,0))))</f>
        <v>1</v>
      </c>
      <c r="R25" s="395">
        <f>IF(ISNA(VLOOKUP($B25,Stammdaten!$A$10:$S$99,R$17,0)),"",IF((VLOOKUP($B25,Stammdaten!$A$10:$S$99,R$17,0)=0),"",(VLOOKUP($B25,Stammdaten!$A$10:$S$99,R$17,0))))</f>
        <v>1</v>
      </c>
      <c r="S25" s="397">
        <f>IF(ISNA(VLOOKUP($B25,Stammdaten!$A$10:$S$99,S$17,0)),"",IF((VLOOKUP($B25,Stammdaten!$A$10:$S$99,S$17,0)=0),"",(VLOOKUP($B25,Stammdaten!$A$10:$S$99,S$17,0))))</f>
        <v>0.5</v>
      </c>
      <c r="T25" s="398" t="str">
        <f>IF(ISNA(VLOOKUP($B25,Stammdaten!$A$10:$S$99,T$17,0)),"",IF((VLOOKUP($B25,Stammdaten!$A$10:$S$99,T$17,0)=0),"",(VLOOKUP($B25,Stammdaten!$A$10:$S$99,T$17,0))))</f>
        <v/>
      </c>
      <c r="U25" s="398" t="str">
        <f>IF(ISNA(VLOOKUP($B25,Stammdaten!$A$10:$S$99,U$17,0)),"",IF((VLOOKUP($B25,Stammdaten!$A$10:$S$99,U$17,0)=0),"",(VLOOKUP($B25,Stammdaten!$A$10:$S$99,U$17,0))))</f>
        <v/>
      </c>
      <c r="V25" s="398">
        <f>IF(ISNA(VLOOKUP($B25,Stammdaten!$A$10:$S$99,V$17,0)),"",IF((VLOOKUP($B25,Stammdaten!$A$10:$S$99,V$17,0)=0),"",(VLOOKUP($B25,Stammdaten!$A$10:$S$99,V$17,0))))</f>
        <v>0.8</v>
      </c>
      <c r="W25" s="399" t="str">
        <f>IF(ISNA(VLOOKUP($B25,Stammdaten!$A$10:$S$99,W$17,0)),"",IF((VLOOKUP($B25,Stammdaten!$A$10:$S$99,W$17,0)=0),"",(VLOOKUP($B25,Stammdaten!$A$10:$S$99,W$17,0))))</f>
        <v>CO-000 Coating</v>
      </c>
      <c r="X25" s="400" t="str">
        <f t="shared" si="0"/>
        <v/>
      </c>
      <c r="Y25" s="401" t="str">
        <f>IF(OR(B25=30,B25=31),Ablauf!$D$5,"")</f>
        <v>RAL 7035</v>
      </c>
      <c r="Z25" s="401">
        <f>IF(OR(B25=30,B25=31),Ablauf!V25,"")</f>
        <v>0.8</v>
      </c>
      <c r="AA25" s="401" t="str">
        <f>IF(OR(B25=61,B25=62),Ablauf!$D$7,"")</f>
        <v/>
      </c>
      <c r="AB25" s="401" t="str">
        <f>IF(OR(B25=61,B25=62),Ablauf!V25,"")</f>
        <v/>
      </c>
      <c r="AC25" s="402" t="str">
        <f t="shared" si="1"/>
        <v/>
      </c>
      <c r="AD25" s="403">
        <f t="shared" si="8"/>
        <v>40</v>
      </c>
      <c r="AF25" s="502"/>
      <c r="AG25" s="407"/>
      <c r="AH25" s="370"/>
      <c r="AI25" s="505">
        <v>31</v>
      </c>
      <c r="AJ25" s="506">
        <v>70</v>
      </c>
      <c r="AK25" s="507"/>
      <c r="AL25" s="370"/>
      <c r="AM25" s="406">
        <f t="shared" si="9"/>
        <v>0</v>
      </c>
      <c r="AN25" s="406">
        <f t="shared" si="2"/>
        <v>0</v>
      </c>
    </row>
    <row r="26" spans="1:40" s="368" customFormat="1" ht="18" customHeight="1">
      <c r="A26" s="495">
        <v>7</v>
      </c>
      <c r="B26" s="497">
        <v>40</v>
      </c>
      <c r="C26" s="390" t="str">
        <f>IF(ISNA(VLOOKUP(B26,Stammdaten!$A$10:$S$99,$C$17,0)),"",IF((VLOOKUP(B26,Stammdaten!$A$10:$S$99,$C$17,0)=0),"",(VLOOKUP(B26,Stammdaten!$A$10:$S$99,$C$17,0))))</f>
        <v>Abreissgewebe 83 g/m²</v>
      </c>
      <c r="D26" s="306"/>
      <c r="E26" s="498">
        <f t="shared" si="3"/>
        <v>40</v>
      </c>
      <c r="F26" s="499">
        <f t="shared" si="4"/>
        <v>9.2446962857142871</v>
      </c>
      <c r="G26" s="499" t="str">
        <f t="shared" si="5"/>
        <v/>
      </c>
      <c r="H26" s="499">
        <f t="shared" si="6"/>
        <v>0.5</v>
      </c>
      <c r="I26" s="391">
        <f>IF(ISNA(VLOOKUP($B26,Stammdaten!$A$10:$S$99,I$17,0)),"",IF((VLOOKUP($B26,Stammdaten!$A$10:$S$99,I$17,0)=0),"",(VLOOKUP($B26,Stammdaten!$A$10:$S$99,I$17,0))))</f>
        <v>2</v>
      </c>
      <c r="J26" s="392">
        <f>IF(ISNA(VLOOKUP($B26,Stammdaten!$A$10:$S$99,J$17,0)),"",IF((VLOOKUP($B26,Stammdaten!$A$10:$S$99,J$17,0)=0),"",(VLOOKUP($B26,Stammdaten!$A$10:$S$99,J$17,0))))</f>
        <v>37</v>
      </c>
      <c r="K26" s="393">
        <f>IF(ISNA(VLOOKUP($B26,Stammdaten!$A$10:$S$99,K$17,0)),"",IF((VLOOKUP($B26,Stammdaten!$A$10:$S$99,K$17,0)=0),"",(VLOOKUP($B26,Stammdaten!$A$10:$S$99,K$17,0))))</f>
        <v>3</v>
      </c>
      <c r="L26" s="394">
        <f t="shared" si="7"/>
        <v>40</v>
      </c>
      <c r="M26" s="395">
        <f>IF(ISNA(VLOOKUP($B26,Stammdaten!$A$10:$S$99,M$17,0)),"",IF((VLOOKUP($B26,Stammdaten!$A$10:$S$99,M$17,0)=0),"",(VLOOKUP($B26,Stammdaten!$A$10:$S$99,M$17,0))))</f>
        <v>0.5</v>
      </c>
      <c r="N26" s="395">
        <f>IF(ISNA(VLOOKUP($B26,Stammdaten!$A$10:$S$99,M$17,0)),"",VLOOKUP($B26,Stammdaten!$A$10:$S$99,N$17,0)*Fläche)</f>
        <v>5.1059999999999999</v>
      </c>
      <c r="O26" s="395">
        <f>IF(ISNA(VLOOKUP($B26,Stammdaten!$A$10:$S$99,M$17,0)),"",VLOOKUP($B26,Stammdaten!$A$10:$S$99,O$17,0)/1000*$A$3*Fläche)</f>
        <v>3.6386962857142864</v>
      </c>
      <c r="P26" s="395">
        <f t="shared" si="10"/>
        <v>9.2446962857142871</v>
      </c>
      <c r="Q26" s="396" t="str">
        <f>IF(ISNA(VLOOKUP($B26,Stammdaten!$A$10:$S$99,Q$17,0)),"",IF((VLOOKUP($B26,Stammdaten!$A$10:$S$99,Q$17,0)=0),"",(VLOOKUP($B26,Stammdaten!$A$10:$S$99,Q$17,0))))</f>
        <v/>
      </c>
      <c r="R26" s="395">
        <f>IF(ISNA(VLOOKUP($B26,Stammdaten!$A$10:$S$99,R$17,0)),"",IF((VLOOKUP($B26,Stammdaten!$A$10:$S$99,R$17,0)=0),"",(VLOOKUP($B26,Stammdaten!$A$10:$S$99,R$17,0))))</f>
        <v>0.5</v>
      </c>
      <c r="S26" s="397">
        <f>IF(ISNA(VLOOKUP($B26,Stammdaten!$A$10:$S$99,S$17,0)),"",IF((VLOOKUP($B26,Stammdaten!$A$10:$S$99,S$17,0)=0),"",(VLOOKUP($B26,Stammdaten!$A$10:$S$99,S$17,0))))</f>
        <v>0.2</v>
      </c>
      <c r="T26" s="398">
        <f>IF(ISNA(VLOOKUP($B26,Stammdaten!$A$10:$S$99,T$17,0)),"",IF((VLOOKUP($B26,Stammdaten!$A$10:$S$99,T$17,0)=0),"",(VLOOKUP($B26,Stammdaten!$A$10:$S$99,T$17,0))))</f>
        <v>83</v>
      </c>
      <c r="U26" s="398">
        <f>IF(ISNA(VLOOKUP($B26,Stammdaten!$A$10:$S$99,U$17,0)),"",IF((VLOOKUP($B26,Stammdaten!$A$10:$S$99,U$17,0)=0),"",(VLOOKUP($B26,Stammdaten!$A$10:$S$99,U$17,0))))</f>
        <v>154.14285714285717</v>
      </c>
      <c r="V26" s="398">
        <f>IF(ISNA(VLOOKUP($B26,Stammdaten!$A$10:$S$99,V$17,0)),"",IF((VLOOKUP($B26,Stammdaten!$A$10:$S$99,V$17,0)=0),"",(VLOOKUP($B26,Stammdaten!$A$10:$S$99,V$17,0))))</f>
        <v>0.23714285714285716</v>
      </c>
      <c r="W26" s="399" t="str">
        <f>IF(ISNA(VLOOKUP($B26,Stammdaten!$A$10:$S$99,W$17,0)),"",IF((VLOOKUP($B26,Stammdaten!$A$10:$S$99,W$17,0)=0),"",(VLOOKUP($B26,Stammdaten!$A$10:$S$99,W$17,0))))</f>
        <v>ML-000 Matte-Laminieren</v>
      </c>
      <c r="X26" s="400" t="str">
        <f t="shared" si="0"/>
        <v/>
      </c>
      <c r="Y26" s="401" t="str">
        <f>IF(OR(B26=30,B26=31),Ablauf!$D$5,"")</f>
        <v/>
      </c>
      <c r="Z26" s="401" t="str">
        <f>IF(OR(B26=30,B26=31),Ablauf!V26,"")</f>
        <v/>
      </c>
      <c r="AA26" s="401" t="str">
        <f>IF(OR(B26=61,B26=62),Ablauf!$D$7,"")</f>
        <v/>
      </c>
      <c r="AB26" s="401" t="str">
        <f>IF(OR(B26=61,B26=62),Ablauf!V26,"")</f>
        <v/>
      </c>
      <c r="AC26" s="402" t="str">
        <f t="shared" si="1"/>
        <v/>
      </c>
      <c r="AD26" s="403">
        <f t="shared" si="8"/>
        <v>40</v>
      </c>
      <c r="AF26" s="501">
        <v>20</v>
      </c>
      <c r="AG26" s="405" t="str">
        <f>IF(ISNA(VLOOKUP(AF26,Stammdaten!$A$10:$S$99,$C$17,0)),"",IF((VLOOKUP(AF26,Stammdaten!$A$10:$S$99,$C$17,0)=0),"",(VLOOKUP(AF26,Stammdaten!$A$10:$S$99,$C$17,0))))</f>
        <v>Formbau 450 g/m²</v>
      </c>
      <c r="AH26" s="370"/>
      <c r="AI26" s="505">
        <v>40</v>
      </c>
      <c r="AJ26" s="506">
        <v>40</v>
      </c>
      <c r="AK26" s="507"/>
      <c r="AL26" s="370"/>
      <c r="AM26" s="406">
        <f t="shared" si="9"/>
        <v>0</v>
      </c>
      <c r="AN26" s="406">
        <f t="shared" si="2"/>
        <v>0</v>
      </c>
    </row>
    <row r="27" spans="1:40" s="368" customFormat="1" ht="18" customHeight="1">
      <c r="A27" s="495">
        <v>8</v>
      </c>
      <c r="B27" s="497">
        <v>43</v>
      </c>
      <c r="C27" s="390" t="str">
        <f>IF(ISNA(VLOOKUP(B27,Stammdaten!$A$10:$S$99,$C$17,0)),"",IF((VLOOKUP(B27,Stammdaten!$A$10:$S$99,$C$17,0)=0),"",(VLOOKUP(B27,Stammdaten!$A$10:$S$99,$C$17,0))))</f>
        <v>K1800 235 g/m²</v>
      </c>
      <c r="D27" s="306"/>
      <c r="E27" s="498">
        <f t="shared" si="3"/>
        <v>50</v>
      </c>
      <c r="F27" s="499">
        <f t="shared" si="4"/>
        <v>16.944332857142857</v>
      </c>
      <c r="G27" s="499" t="str">
        <f t="shared" si="5"/>
        <v/>
      </c>
      <c r="H27" s="499">
        <f t="shared" si="6"/>
        <v>0.5</v>
      </c>
      <c r="I27" s="391">
        <f>IF(ISNA(VLOOKUP($B27,Stammdaten!$A$10:$S$99,I$17,0)),"",IF((VLOOKUP($B27,Stammdaten!$A$10:$S$99,I$17,0)=0),"",(VLOOKUP($B27,Stammdaten!$A$10:$S$99,I$17,0))))</f>
        <v>2</v>
      </c>
      <c r="J27" s="392">
        <f>IF(ISNA(VLOOKUP($B27,Stammdaten!$A$10:$S$99,J$17,0)),"",IF((VLOOKUP($B27,Stammdaten!$A$10:$S$99,J$17,0)=0),"",(VLOOKUP($B27,Stammdaten!$A$10:$S$99,J$17,0))))</f>
        <v>44.400000000000006</v>
      </c>
      <c r="K27" s="393">
        <f>IF(ISNA(VLOOKUP($B27,Stammdaten!$A$10:$S$99,K$17,0)),"",IF((VLOOKUP($B27,Stammdaten!$A$10:$S$99,K$17,0)=0),"",(VLOOKUP($B27,Stammdaten!$A$10:$S$99,K$17,0))))</f>
        <v>3</v>
      </c>
      <c r="L27" s="394">
        <f t="shared" si="7"/>
        <v>50</v>
      </c>
      <c r="M27" s="395">
        <f>IF(ISNA(VLOOKUP($B27,Stammdaten!$A$10:$S$99,M$17,0)),"",IF((VLOOKUP($B27,Stammdaten!$A$10:$S$99,M$17,0)=0),"",(VLOOKUP($B27,Stammdaten!$A$10:$S$99,M$17,0))))</f>
        <v>0.5</v>
      </c>
      <c r="N27" s="395">
        <f>IF(ISNA(VLOOKUP($B27,Stammdaten!$A$10:$S$99,M$17,0)),"",VLOOKUP($B27,Stammdaten!$A$10:$S$99,N$17,0)*Fläche)</f>
        <v>6.1420000000000003</v>
      </c>
      <c r="O27" s="395">
        <f>IF(ISNA(VLOOKUP($B27,Stammdaten!$A$10:$S$99,M$17,0)),"",VLOOKUP($B27,Stammdaten!$A$10:$S$99,O$17,0)/1000*$A$3*Fläche)</f>
        <v>10.302332857142858</v>
      </c>
      <c r="P27" s="395">
        <f>IF(SUM(M27:O27)=0,"",SUM(M27:O27))</f>
        <v>16.944332857142857</v>
      </c>
      <c r="Q27" s="396" t="str">
        <f>IF(ISNA(VLOOKUP($B27,Stammdaten!$A$10:$S$99,Q$17,0)),"",IF((VLOOKUP($B27,Stammdaten!$A$10:$S$99,Q$17,0)=0),"",(VLOOKUP($B27,Stammdaten!$A$10:$S$99,Q$17,0))))</f>
        <v/>
      </c>
      <c r="R27" s="395">
        <f>IF(ISNA(VLOOKUP($B27,Stammdaten!$A$10:$S$99,R$17,0)),"",IF((VLOOKUP($B27,Stammdaten!$A$10:$S$99,R$17,0)=0),"",(VLOOKUP($B27,Stammdaten!$A$10:$S$99,R$17,0))))</f>
        <v>0.5</v>
      </c>
      <c r="S27" s="397">
        <f>IF(ISNA(VLOOKUP($B27,Stammdaten!$A$10:$S$99,S$17,0)),"",IF((VLOOKUP($B27,Stammdaten!$A$10:$S$99,S$17,0)=0),"",(VLOOKUP($B27,Stammdaten!$A$10:$S$99,S$17,0))))</f>
        <v>0.9</v>
      </c>
      <c r="T27" s="398">
        <f>IF(ISNA(VLOOKUP($B27,Stammdaten!$A$10:$S$99,T$17,0)),"",IF((VLOOKUP($B27,Stammdaten!$A$10:$S$99,T$17,0)=0),"",(VLOOKUP($B27,Stammdaten!$A$10:$S$99,T$17,0))))</f>
        <v>235</v>
      </c>
      <c r="U27" s="398">
        <f>IF(ISNA(VLOOKUP($B27,Stammdaten!$A$10:$S$99,U$17,0)),"",IF((VLOOKUP($B27,Stammdaten!$A$10:$S$99,U$17,0)=0),"",(VLOOKUP($B27,Stammdaten!$A$10:$S$99,U$17,0))))</f>
        <v>436.42857142857144</v>
      </c>
      <c r="V27" s="398">
        <f>IF(ISNA(VLOOKUP($B27,Stammdaten!$A$10:$S$99,V$17,0)),"",IF((VLOOKUP($B27,Stammdaten!$A$10:$S$99,V$17,0)=0),"",(VLOOKUP($B27,Stammdaten!$A$10:$S$99,V$17,0))))</f>
        <v>0.67142857142857149</v>
      </c>
      <c r="W27" s="399" t="str">
        <f>IF(ISNA(VLOOKUP($B27,Stammdaten!$A$10:$S$99,W$17,0)),"",IF((VLOOKUP($B27,Stammdaten!$A$10:$S$99,W$17,0)=0),"",(VLOOKUP($B27,Stammdaten!$A$10:$S$99,W$17,0))))</f>
        <v>ML-000 Matte-Laminieren</v>
      </c>
      <c r="X27" s="400" t="str">
        <f t="shared" si="0"/>
        <v/>
      </c>
      <c r="Y27" s="401" t="str">
        <f>IF(OR(B27=30,B27=31),Ablauf!$D$5,"")</f>
        <v/>
      </c>
      <c r="Z27" s="401" t="str">
        <f>IF(OR(B27=30,B27=31),Ablauf!V27,"")</f>
        <v/>
      </c>
      <c r="AA27" s="401" t="str">
        <f>IF(OR(B27=61,B27=62),Ablauf!$D$7,"")</f>
        <v/>
      </c>
      <c r="AB27" s="401" t="str">
        <f>IF(OR(B27=61,B27=62),Ablauf!V27,"")</f>
        <v/>
      </c>
      <c r="AC27" s="402" t="str">
        <f t="shared" si="1"/>
        <v/>
      </c>
      <c r="AD27" s="403">
        <f t="shared" si="8"/>
        <v>50</v>
      </c>
      <c r="AF27" s="501">
        <v>21</v>
      </c>
      <c r="AG27" s="405" t="str">
        <f>IF(ISNA(VLOOKUP(AF27,Stammdaten!$A$10:$S$99,$C$17,0)),"",IF((VLOOKUP(AF27,Stammdaten!$A$10:$S$99,$C$17,0)=0),"",(VLOOKUP(AF27,Stammdaten!$A$10:$S$99,$C$17,0))))</f>
        <v>Silikonhaube herstellen</v>
      </c>
      <c r="AH27" s="370"/>
      <c r="AI27" s="505">
        <v>43</v>
      </c>
      <c r="AJ27" s="506">
        <v>70</v>
      </c>
      <c r="AK27" s="507"/>
      <c r="AL27" s="370"/>
      <c r="AM27" s="406">
        <f t="shared" si="9"/>
        <v>0</v>
      </c>
      <c r="AN27" s="406">
        <f t="shared" si="2"/>
        <v>0</v>
      </c>
    </row>
    <row r="28" spans="1:40" s="368" customFormat="1" ht="18" customHeight="1">
      <c r="A28" s="495">
        <v>9</v>
      </c>
      <c r="B28" s="497">
        <v>43</v>
      </c>
      <c r="C28" s="390" t="str">
        <f>IF(ISNA(VLOOKUP(B28,Stammdaten!$A$10:$S$99,$C$17,0)),"",IF((VLOOKUP(B28,Stammdaten!$A$10:$S$99,$C$17,0)=0),"",(VLOOKUP(B28,Stammdaten!$A$10:$S$99,$C$17,0))))</f>
        <v>K1800 235 g/m²</v>
      </c>
      <c r="D28" s="306"/>
      <c r="E28" s="498">
        <f t="shared" si="3"/>
        <v>50</v>
      </c>
      <c r="F28" s="499">
        <f t="shared" si="4"/>
        <v>16.944332857142857</v>
      </c>
      <c r="G28" s="499" t="str">
        <f t="shared" si="5"/>
        <v/>
      </c>
      <c r="H28" s="499">
        <f t="shared" si="6"/>
        <v>0.5</v>
      </c>
      <c r="I28" s="391">
        <f>IF(ISNA(VLOOKUP($B28,Stammdaten!$A$10:$S$99,I$17,0)),"",IF((VLOOKUP($B28,Stammdaten!$A$10:$S$99,I$17,0)=0),"",(VLOOKUP($B28,Stammdaten!$A$10:$S$99,I$17,0))))</f>
        <v>2</v>
      </c>
      <c r="J28" s="392">
        <f>IF(ISNA(VLOOKUP($B28,Stammdaten!$A$10:$S$99,J$17,0)),"",IF((VLOOKUP($B28,Stammdaten!$A$10:$S$99,J$17,0)=0),"",(VLOOKUP($B28,Stammdaten!$A$10:$S$99,J$17,0))))</f>
        <v>44.400000000000006</v>
      </c>
      <c r="K28" s="393">
        <f>IF(ISNA(VLOOKUP($B28,Stammdaten!$A$10:$S$99,K$17,0)),"",IF((VLOOKUP($B28,Stammdaten!$A$10:$S$99,K$17,0)=0),"",(VLOOKUP($B28,Stammdaten!$A$10:$S$99,K$17,0))))</f>
        <v>3</v>
      </c>
      <c r="L28" s="394">
        <f t="shared" si="7"/>
        <v>50</v>
      </c>
      <c r="M28" s="395">
        <f>IF(ISNA(VLOOKUP($B28,Stammdaten!$A$10:$S$99,M$17,0)),"",IF((VLOOKUP($B28,Stammdaten!$A$10:$S$99,M$17,0)=0),"",(VLOOKUP($B28,Stammdaten!$A$10:$S$99,M$17,0))))</f>
        <v>0.5</v>
      </c>
      <c r="N28" s="395">
        <f>IF(ISNA(VLOOKUP($B28,Stammdaten!$A$10:$S$99,M$17,0)),"",VLOOKUP($B28,Stammdaten!$A$10:$S$99,N$17,0)*Fläche)</f>
        <v>6.1420000000000003</v>
      </c>
      <c r="O28" s="395">
        <f>IF(ISNA(VLOOKUP($B28,Stammdaten!$A$10:$S$99,M$17,0)),"",VLOOKUP($B28,Stammdaten!$A$10:$S$99,O$17,0)/1000*$A$3*Fläche)</f>
        <v>10.302332857142858</v>
      </c>
      <c r="P28" s="395">
        <f t="shared" si="10"/>
        <v>16.944332857142857</v>
      </c>
      <c r="Q28" s="396" t="str">
        <f>IF(ISNA(VLOOKUP($B28,Stammdaten!$A$10:$S$99,Q$17,0)),"",IF((VLOOKUP($B28,Stammdaten!$A$10:$S$99,Q$17,0)=0),"",(VLOOKUP($B28,Stammdaten!$A$10:$S$99,Q$17,0))))</f>
        <v/>
      </c>
      <c r="R28" s="395">
        <f>IF(ISNA(VLOOKUP($B28,Stammdaten!$A$10:$S$99,R$17,0)),"",IF((VLOOKUP($B28,Stammdaten!$A$10:$S$99,R$17,0)=0),"",(VLOOKUP($B28,Stammdaten!$A$10:$S$99,R$17,0))))</f>
        <v>0.5</v>
      </c>
      <c r="S28" s="397">
        <f>IF(ISNA(VLOOKUP($B28,Stammdaten!$A$10:$S$99,S$17,0)),"",IF((VLOOKUP($B28,Stammdaten!$A$10:$S$99,S$17,0)=0),"",(VLOOKUP($B28,Stammdaten!$A$10:$S$99,S$17,0))))</f>
        <v>0.9</v>
      </c>
      <c r="T28" s="398">
        <f>IF(ISNA(VLOOKUP($B28,Stammdaten!$A$10:$S$99,T$17,0)),"",IF((VLOOKUP($B28,Stammdaten!$A$10:$S$99,T$17,0)=0),"",(VLOOKUP($B28,Stammdaten!$A$10:$S$99,T$17,0))))</f>
        <v>235</v>
      </c>
      <c r="U28" s="398">
        <f>IF(ISNA(VLOOKUP($B28,Stammdaten!$A$10:$S$99,U$17,0)),"",IF((VLOOKUP($B28,Stammdaten!$A$10:$S$99,U$17,0)=0),"",(VLOOKUP($B28,Stammdaten!$A$10:$S$99,U$17,0))))</f>
        <v>436.42857142857144</v>
      </c>
      <c r="V28" s="398">
        <f>IF(ISNA(VLOOKUP($B28,Stammdaten!$A$10:$S$99,V$17,0)),"",IF((VLOOKUP($B28,Stammdaten!$A$10:$S$99,V$17,0)=0),"",(VLOOKUP($B28,Stammdaten!$A$10:$S$99,V$17,0))))</f>
        <v>0.67142857142857149</v>
      </c>
      <c r="W28" s="399" t="str">
        <f>IF(ISNA(VLOOKUP($B28,Stammdaten!$A$10:$S$99,W$17,0)),"",IF((VLOOKUP($B28,Stammdaten!$A$10:$S$99,W$17,0)=0),"",(VLOOKUP($B28,Stammdaten!$A$10:$S$99,W$17,0))))</f>
        <v>ML-000 Matte-Laminieren</v>
      </c>
      <c r="X28" s="400" t="str">
        <f t="shared" si="0"/>
        <v/>
      </c>
      <c r="Y28" s="401" t="str">
        <f>IF(OR(B28=30,B28=31),Ablauf!$D$5,"")</f>
        <v/>
      </c>
      <c r="Z28" s="401" t="str">
        <f>IF(OR(B28=30,B28=31),Ablauf!V28,"")</f>
        <v/>
      </c>
      <c r="AA28" s="401" t="str">
        <f>IF(OR(B28=61,B28=62),Ablauf!$D$7,"")</f>
        <v/>
      </c>
      <c r="AB28" s="401" t="str">
        <f>IF(OR(B28=61,B28=62),Ablauf!V28,"")</f>
        <v/>
      </c>
      <c r="AC28" s="402" t="str">
        <f t="shared" si="1"/>
        <v/>
      </c>
      <c r="AD28" s="403">
        <f t="shared" si="8"/>
        <v>50</v>
      </c>
      <c r="AF28" s="501">
        <v>22</v>
      </c>
      <c r="AG28" s="405" t="str">
        <f>IF(ISNA(VLOOKUP(AF28,Stammdaten!$A$10:$S$99,$C$17,0)),"",IF((VLOOKUP(AF28,Stammdaten!$A$10:$S$99,$C$17,0)=0),"",(VLOOKUP(AF28,Stammdaten!$A$10:$S$99,$C$17,0))))</f>
        <v>VAP Aufbau vorbereiten</v>
      </c>
      <c r="AH28" s="370"/>
      <c r="AI28" s="505">
        <v>43</v>
      </c>
      <c r="AJ28" s="506">
        <v>20</v>
      </c>
      <c r="AK28" s="507"/>
      <c r="AL28" s="370"/>
      <c r="AM28" s="406">
        <f t="shared" si="9"/>
        <v>0</v>
      </c>
      <c r="AN28" s="406">
        <f t="shared" si="2"/>
        <v>0</v>
      </c>
    </row>
    <row r="29" spans="1:40" s="368" customFormat="1" ht="18" customHeight="1">
      <c r="A29" s="495">
        <v>10</v>
      </c>
      <c r="B29" s="497">
        <v>43</v>
      </c>
      <c r="C29" s="390" t="str">
        <f>IF(ISNA(VLOOKUP(B29,Stammdaten!$A$10:$S$99,$C$17,0)),"",IF((VLOOKUP(B29,Stammdaten!$A$10:$S$99,$C$17,0)=0),"",(VLOOKUP(B29,Stammdaten!$A$10:$S$99,$C$17,0))))</f>
        <v>K1800 235 g/m²</v>
      </c>
      <c r="D29" s="306"/>
      <c r="E29" s="498">
        <f t="shared" si="3"/>
        <v>50</v>
      </c>
      <c r="F29" s="499">
        <f t="shared" si="4"/>
        <v>16.944332857142857</v>
      </c>
      <c r="G29" s="499" t="str">
        <f t="shared" si="5"/>
        <v/>
      </c>
      <c r="H29" s="499">
        <f t="shared" si="6"/>
        <v>0.5</v>
      </c>
      <c r="I29" s="391">
        <f>IF(ISNA(VLOOKUP($B29,Stammdaten!$A$10:$S$99,I$17,0)),"",IF((VLOOKUP($B29,Stammdaten!$A$10:$S$99,I$17,0)=0),"",(VLOOKUP($B29,Stammdaten!$A$10:$S$99,I$17,0))))</f>
        <v>2</v>
      </c>
      <c r="J29" s="392">
        <f>IF(ISNA(VLOOKUP($B29,Stammdaten!$A$10:$S$99,J$17,0)),"",IF((VLOOKUP($B29,Stammdaten!$A$10:$S$99,J$17,0)=0),"",(VLOOKUP($B29,Stammdaten!$A$10:$S$99,J$17,0))))</f>
        <v>44.400000000000006</v>
      </c>
      <c r="K29" s="393">
        <f>IF(ISNA(VLOOKUP($B29,Stammdaten!$A$10:$S$99,K$17,0)),"",IF((VLOOKUP($B29,Stammdaten!$A$10:$S$99,K$17,0)=0),"",(VLOOKUP($B29,Stammdaten!$A$10:$S$99,K$17,0))))</f>
        <v>3</v>
      </c>
      <c r="L29" s="394">
        <f t="shared" si="7"/>
        <v>50</v>
      </c>
      <c r="M29" s="395">
        <f>IF(ISNA(VLOOKUP($B29,Stammdaten!$A$10:$S$99,M$17,0)),"",IF((VLOOKUP($B29,Stammdaten!$A$10:$S$99,M$17,0)=0),"",(VLOOKUP($B29,Stammdaten!$A$10:$S$99,M$17,0))))</f>
        <v>0.5</v>
      </c>
      <c r="N29" s="395">
        <f>IF(ISNA(VLOOKUP($B29,Stammdaten!$A$10:$S$99,M$17,0)),"",VLOOKUP($B29,Stammdaten!$A$10:$S$99,N$17,0)*Fläche)</f>
        <v>6.1420000000000003</v>
      </c>
      <c r="O29" s="395">
        <f>IF(ISNA(VLOOKUP($B29,Stammdaten!$A$10:$S$99,M$17,0)),"",VLOOKUP($B29,Stammdaten!$A$10:$S$99,O$17,0)/1000*$A$3*Fläche)</f>
        <v>10.302332857142858</v>
      </c>
      <c r="P29" s="395">
        <f t="shared" si="10"/>
        <v>16.944332857142857</v>
      </c>
      <c r="Q29" s="396" t="str">
        <f>IF(ISNA(VLOOKUP($B29,Stammdaten!$A$10:$S$99,Q$17,0)),"",IF((VLOOKUP($B29,Stammdaten!$A$10:$S$99,Q$17,0)=0),"",(VLOOKUP($B29,Stammdaten!$A$10:$S$99,Q$17,0))))</f>
        <v/>
      </c>
      <c r="R29" s="395">
        <f>IF(ISNA(VLOOKUP($B29,Stammdaten!$A$10:$S$99,R$17,0)),"",IF((VLOOKUP($B29,Stammdaten!$A$10:$S$99,R$17,0)=0),"",(VLOOKUP($B29,Stammdaten!$A$10:$S$99,R$17,0))))</f>
        <v>0.5</v>
      </c>
      <c r="S29" s="397">
        <f>IF(ISNA(VLOOKUP($B29,Stammdaten!$A$10:$S$99,S$17,0)),"",IF((VLOOKUP($B29,Stammdaten!$A$10:$S$99,S$17,0)=0),"",(VLOOKUP($B29,Stammdaten!$A$10:$S$99,S$17,0))))</f>
        <v>0.9</v>
      </c>
      <c r="T29" s="398">
        <f>IF(ISNA(VLOOKUP($B29,Stammdaten!$A$10:$S$99,T$17,0)),"",IF((VLOOKUP($B29,Stammdaten!$A$10:$S$99,T$17,0)=0),"",(VLOOKUP($B29,Stammdaten!$A$10:$S$99,T$17,0))))</f>
        <v>235</v>
      </c>
      <c r="U29" s="398">
        <f>IF(ISNA(VLOOKUP($B29,Stammdaten!$A$10:$S$99,U$17,0)),"",IF((VLOOKUP($B29,Stammdaten!$A$10:$S$99,U$17,0)=0),"",(VLOOKUP($B29,Stammdaten!$A$10:$S$99,U$17,0))))</f>
        <v>436.42857142857144</v>
      </c>
      <c r="V29" s="398">
        <f>IF(ISNA(VLOOKUP($B29,Stammdaten!$A$10:$S$99,V$17,0)),"",IF((VLOOKUP($B29,Stammdaten!$A$10:$S$99,V$17,0)=0),"",(VLOOKUP($B29,Stammdaten!$A$10:$S$99,V$17,0))))</f>
        <v>0.67142857142857149</v>
      </c>
      <c r="W29" s="399" t="str">
        <f>IF(ISNA(VLOOKUP($B29,Stammdaten!$A$10:$S$99,W$17,0)),"",IF((VLOOKUP($B29,Stammdaten!$A$10:$S$99,W$17,0)=0),"",(VLOOKUP($B29,Stammdaten!$A$10:$S$99,W$17,0))))</f>
        <v>ML-000 Matte-Laminieren</v>
      </c>
      <c r="X29" s="400" t="str">
        <f t="shared" si="0"/>
        <v/>
      </c>
      <c r="Y29" s="401" t="str">
        <f>IF(OR(B29=30,B29=31),Ablauf!$D$5,"")</f>
        <v/>
      </c>
      <c r="Z29" s="401" t="str">
        <f>IF(OR(B29=30,B29=31),Ablauf!V29,"")</f>
        <v/>
      </c>
      <c r="AA29" s="401" t="str">
        <f>IF(OR(B29=61,B29=62),Ablauf!$D$7,"")</f>
        <v/>
      </c>
      <c r="AB29" s="401" t="str">
        <f>IF(OR(B29=61,B29=62),Ablauf!V29,"")</f>
        <v/>
      </c>
      <c r="AC29" s="402" t="str">
        <f t="shared" si="1"/>
        <v/>
      </c>
      <c r="AD29" s="403">
        <f t="shared" si="8"/>
        <v>50</v>
      </c>
      <c r="AE29" s="408"/>
      <c r="AF29" s="501">
        <v>23</v>
      </c>
      <c r="AG29" s="405" t="str">
        <f>IF(ISNA(VLOOKUP(AF29,Stammdaten!$A$10:$S$99,$C$17,0)),"",IF((VLOOKUP(AF29,Stammdaten!$A$10:$S$99,$C$17,0)=0),"",(VLOOKUP(AF29,Stammdaten!$A$10:$S$99,$C$17,0))))</f>
        <v>VARI Aufbau vorbereiten</v>
      </c>
      <c r="AH29" s="370"/>
      <c r="AI29" s="505">
        <v>43</v>
      </c>
      <c r="AJ29" s="506">
        <v>20</v>
      </c>
      <c r="AK29" s="507"/>
      <c r="AL29" s="370"/>
      <c r="AM29" s="406">
        <f t="shared" si="9"/>
        <v>0</v>
      </c>
      <c r="AN29" s="406">
        <f t="shared" si="2"/>
        <v>0</v>
      </c>
    </row>
    <row r="30" spans="1:40" s="368" customFormat="1" ht="18" customHeight="1">
      <c r="A30" s="495">
        <v>11</v>
      </c>
      <c r="B30" s="497">
        <v>43</v>
      </c>
      <c r="C30" s="390" t="str">
        <f>IF(ISNA(VLOOKUP(B30,Stammdaten!$A$10:$S$99,$C$17,0)),"",IF((VLOOKUP(B30,Stammdaten!$A$10:$S$99,$C$17,0)=0),"",(VLOOKUP(B30,Stammdaten!$A$10:$S$99,$C$17,0))))</f>
        <v>K1800 235 g/m²</v>
      </c>
      <c r="D30" s="306"/>
      <c r="E30" s="498">
        <f t="shared" si="3"/>
        <v>50</v>
      </c>
      <c r="F30" s="499">
        <f t="shared" si="4"/>
        <v>16.944332857142857</v>
      </c>
      <c r="G30" s="499" t="str">
        <f t="shared" si="5"/>
        <v/>
      </c>
      <c r="H30" s="499">
        <f t="shared" si="6"/>
        <v>0.5</v>
      </c>
      <c r="I30" s="391">
        <f>IF(ISNA(VLOOKUP($B30,Stammdaten!$A$10:$S$99,I$17,0)),"",IF((VLOOKUP($B30,Stammdaten!$A$10:$S$99,I$17,0)=0),"",(VLOOKUP($B30,Stammdaten!$A$10:$S$99,I$17,0))))</f>
        <v>2</v>
      </c>
      <c r="J30" s="392">
        <f>IF(ISNA(VLOOKUP($B30,Stammdaten!$A$10:$S$99,J$17,0)),"",IF((VLOOKUP($B30,Stammdaten!$A$10:$S$99,J$17,0)=0),"",(VLOOKUP($B30,Stammdaten!$A$10:$S$99,J$17,0))))</f>
        <v>44.400000000000006</v>
      </c>
      <c r="K30" s="393">
        <f>IF(ISNA(VLOOKUP($B30,Stammdaten!$A$10:$S$99,K$17,0)),"",IF((VLOOKUP($B30,Stammdaten!$A$10:$S$99,K$17,0)=0),"",(VLOOKUP($B30,Stammdaten!$A$10:$S$99,K$17,0))))</f>
        <v>3</v>
      </c>
      <c r="L30" s="394">
        <f t="shared" si="7"/>
        <v>50</v>
      </c>
      <c r="M30" s="395">
        <f>IF(ISNA(VLOOKUP($B30,Stammdaten!$A$10:$S$99,M$17,0)),"",IF((VLOOKUP($B30,Stammdaten!$A$10:$S$99,M$17,0)=0),"",(VLOOKUP($B30,Stammdaten!$A$10:$S$99,M$17,0))))</f>
        <v>0.5</v>
      </c>
      <c r="N30" s="395">
        <f>IF(ISNA(VLOOKUP($B30,Stammdaten!$A$10:$S$99,M$17,0)),"",VLOOKUP($B30,Stammdaten!$A$10:$S$99,N$17,0)*Fläche)</f>
        <v>6.1420000000000003</v>
      </c>
      <c r="O30" s="395">
        <f>IF(ISNA(VLOOKUP($B30,Stammdaten!$A$10:$S$99,M$17,0)),"",VLOOKUP($B30,Stammdaten!$A$10:$S$99,O$17,0)/1000*$A$3*Fläche)</f>
        <v>10.302332857142858</v>
      </c>
      <c r="P30" s="395">
        <f t="shared" si="10"/>
        <v>16.944332857142857</v>
      </c>
      <c r="Q30" s="396" t="str">
        <f>IF(ISNA(VLOOKUP($B30,Stammdaten!$A$10:$S$99,Q$17,0)),"",IF((VLOOKUP($B30,Stammdaten!$A$10:$S$99,Q$17,0)=0),"",(VLOOKUP($B30,Stammdaten!$A$10:$S$99,Q$17,0))))</f>
        <v/>
      </c>
      <c r="R30" s="395">
        <f>IF(ISNA(VLOOKUP($B30,Stammdaten!$A$10:$S$99,R$17,0)),"",IF((VLOOKUP($B30,Stammdaten!$A$10:$S$99,R$17,0)=0),"",(VLOOKUP($B30,Stammdaten!$A$10:$S$99,R$17,0))))</f>
        <v>0.5</v>
      </c>
      <c r="S30" s="397">
        <f>IF(ISNA(VLOOKUP($B30,Stammdaten!$A$10:$S$99,S$17,0)),"",IF((VLOOKUP($B30,Stammdaten!$A$10:$S$99,S$17,0)=0),"",(VLOOKUP($B30,Stammdaten!$A$10:$S$99,S$17,0))))</f>
        <v>0.9</v>
      </c>
      <c r="T30" s="398">
        <f>IF(ISNA(VLOOKUP($B30,Stammdaten!$A$10:$S$99,T$17,0)),"",IF((VLOOKUP($B30,Stammdaten!$A$10:$S$99,T$17,0)=0),"",(VLOOKUP($B30,Stammdaten!$A$10:$S$99,T$17,0))))</f>
        <v>235</v>
      </c>
      <c r="U30" s="398">
        <f>IF(ISNA(VLOOKUP($B30,Stammdaten!$A$10:$S$99,U$17,0)),"",IF((VLOOKUP($B30,Stammdaten!$A$10:$S$99,U$17,0)=0),"",(VLOOKUP($B30,Stammdaten!$A$10:$S$99,U$17,0))))</f>
        <v>436.42857142857144</v>
      </c>
      <c r="V30" s="398">
        <f>IF(ISNA(VLOOKUP($B30,Stammdaten!$A$10:$S$99,V$17,0)),"",IF((VLOOKUP($B30,Stammdaten!$A$10:$S$99,V$17,0)=0),"",(VLOOKUP($B30,Stammdaten!$A$10:$S$99,V$17,0))))</f>
        <v>0.67142857142857149</v>
      </c>
      <c r="W30" s="399" t="str">
        <f>IF(ISNA(VLOOKUP($B30,Stammdaten!$A$10:$S$99,W$17,0)),"",IF((VLOOKUP($B30,Stammdaten!$A$10:$S$99,W$17,0)=0),"",(VLOOKUP($B30,Stammdaten!$A$10:$S$99,W$17,0))))</f>
        <v>ML-000 Matte-Laminieren</v>
      </c>
      <c r="X30" s="400" t="str">
        <f t="shared" si="0"/>
        <v/>
      </c>
      <c r="Y30" s="401" t="str">
        <f>IF(OR(B30=30,B30=31),Ablauf!$D$5,"")</f>
        <v/>
      </c>
      <c r="Z30" s="401" t="str">
        <f>IF(OR(B30=30,B30=31),Ablauf!V30,"")</f>
        <v/>
      </c>
      <c r="AA30" s="401" t="str">
        <f>IF(OR(B30=61,B30=62),Ablauf!$D$7,"")</f>
        <v/>
      </c>
      <c r="AB30" s="401" t="str">
        <f>IF(OR(B30=61,B30=62),Ablauf!V30,"")</f>
        <v/>
      </c>
      <c r="AC30" s="402" t="str">
        <f t="shared" si="1"/>
        <v/>
      </c>
      <c r="AD30" s="403">
        <f t="shared" si="8"/>
        <v>50</v>
      </c>
      <c r="AE30" s="408"/>
      <c r="AF30" s="501">
        <v>24</v>
      </c>
      <c r="AG30" s="405" t="str">
        <f>IF(ISNA(VLOOKUP(AF30,Stammdaten!$A$10:$S$99,$C$17,0)),"",IF((VLOOKUP(AF30,Stammdaten!$A$10:$S$99,$C$17,0)=0),"",(VLOOKUP(AF30,Stammdaten!$A$10:$S$99,$C$17,0))))</f>
        <v>RTM Aufbau vorbereiten</v>
      </c>
      <c r="AH30" s="409"/>
      <c r="AI30" s="505">
        <v>43</v>
      </c>
      <c r="AJ30" s="506">
        <v>70</v>
      </c>
      <c r="AK30" s="507"/>
      <c r="AL30" s="370"/>
      <c r="AM30" s="406">
        <f t="shared" si="9"/>
        <v>0</v>
      </c>
      <c r="AN30" s="406">
        <f t="shared" si="2"/>
        <v>0</v>
      </c>
    </row>
    <row r="31" spans="1:40" s="368" customFormat="1" ht="18" customHeight="1">
      <c r="A31" s="495">
        <v>12</v>
      </c>
      <c r="B31" s="497">
        <v>70</v>
      </c>
      <c r="C31" s="390" t="str">
        <f>IF(ISNA(VLOOKUP(B31,Stammdaten!$A$10:$S$99,$C$17,0)),"",IF((VLOOKUP(B31,Stammdaten!$A$10:$S$99,$C$17,0)=0),"",(VLOOKUP(B31,Stammdaten!$A$10:$S$99,$C$17,0))))</f>
        <v>Tempern</v>
      </c>
      <c r="D31" s="306"/>
      <c r="E31" s="498">
        <f t="shared" si="3"/>
        <v>10</v>
      </c>
      <c r="F31" s="499">
        <f t="shared" si="4"/>
        <v>4</v>
      </c>
      <c r="G31" s="499">
        <f t="shared" si="5"/>
        <v>4</v>
      </c>
      <c r="H31" s="499" t="str">
        <f t="shared" si="6"/>
        <v/>
      </c>
      <c r="I31" s="391">
        <f>IF(ISNA(VLOOKUP($B31,Stammdaten!$A$10:$S$99,I$17,0)),"",IF((VLOOKUP($B31,Stammdaten!$A$10:$S$99,I$17,0)=0),"",(VLOOKUP($B31,Stammdaten!$A$10:$S$99,I$17,0))))</f>
        <v>2</v>
      </c>
      <c r="J31" s="392">
        <f>IF(ISNA(VLOOKUP($B31,Stammdaten!$A$10:$S$99,J$17,0)),"",IF((VLOOKUP($B31,Stammdaten!$A$10:$S$99,J$17,0)=0),"",(VLOOKUP($B31,Stammdaten!$A$10:$S$99,J$17,0))))</f>
        <v>2.9600000000000004</v>
      </c>
      <c r="K31" s="393">
        <f>IF(ISNA(VLOOKUP($B31,Stammdaten!$A$10:$S$99,K$17,0)),"",IF((VLOOKUP($B31,Stammdaten!$A$10:$S$99,K$17,0)=0),"",(VLOOKUP($B31,Stammdaten!$A$10:$S$99,K$17,0))))</f>
        <v>5</v>
      </c>
      <c r="L31" s="394">
        <f t="shared" si="7"/>
        <v>10</v>
      </c>
      <c r="M31" s="395">
        <f>IF(ISNA(VLOOKUP($B31,Stammdaten!$A$10:$S$99,M$17,0)),"",IF((VLOOKUP($B31,Stammdaten!$A$10:$S$99,M$17,0)=0),"",(VLOOKUP($B31,Stammdaten!$A$10:$S$99,M$17,0))))</f>
        <v>4</v>
      </c>
      <c r="N31" s="395">
        <f>IF(ISNA(VLOOKUP($B31,Stammdaten!$A$10:$S$99,M$17,0)),"",VLOOKUP($B31,Stammdaten!$A$10:$S$99,N$17,0)*Fläche)</f>
        <v>0</v>
      </c>
      <c r="O31" s="395">
        <f>IF(ISNA(VLOOKUP($B31,Stammdaten!$A$10:$S$99,M$17,0)),"",VLOOKUP($B31,Stammdaten!$A$10:$S$99,O$17,0)/1000*$A$3*Fläche)</f>
        <v>0</v>
      </c>
      <c r="P31" s="395">
        <f t="shared" si="10"/>
        <v>4</v>
      </c>
      <c r="Q31" s="396">
        <f>IF(ISNA(VLOOKUP($B31,Stammdaten!$A$10:$S$99,Q$17,0)),"",IF((VLOOKUP($B31,Stammdaten!$A$10:$S$99,Q$17,0)=0),"",(VLOOKUP($B31,Stammdaten!$A$10:$S$99,Q$17,0))))</f>
        <v>4</v>
      </c>
      <c r="R31" s="395" t="str">
        <f>IF(ISNA(VLOOKUP($B31,Stammdaten!$A$10:$S$99,R$17,0)),"",IF((VLOOKUP($B31,Stammdaten!$A$10:$S$99,R$17,0)=0),"",(VLOOKUP($B31,Stammdaten!$A$10:$S$99,R$17,0))))</f>
        <v/>
      </c>
      <c r="S31" s="397" t="str">
        <f>IF(ISNA(VLOOKUP($B31,Stammdaten!$A$10:$S$99,S$17,0)),"",IF((VLOOKUP($B31,Stammdaten!$A$10:$S$99,S$17,0)=0),"",(VLOOKUP($B31,Stammdaten!$A$10:$S$99,S$17,0))))</f>
        <v/>
      </c>
      <c r="T31" s="398" t="str">
        <f>IF(ISNA(VLOOKUP($B31,Stammdaten!$A$10:$S$99,T$17,0)),"",IF((VLOOKUP($B31,Stammdaten!$A$10:$S$99,T$17,0)=0),"",(VLOOKUP($B31,Stammdaten!$A$10:$S$99,T$17,0))))</f>
        <v/>
      </c>
      <c r="U31" s="398" t="str">
        <f>IF(ISNA(VLOOKUP($B31,Stammdaten!$A$10:$S$99,U$17,0)),"",IF((VLOOKUP($B31,Stammdaten!$A$10:$S$99,U$17,0)=0),"",(VLOOKUP($B31,Stammdaten!$A$10:$S$99,U$17,0))))</f>
        <v/>
      </c>
      <c r="V31" s="398" t="str">
        <f>IF(ISNA(VLOOKUP($B31,Stammdaten!$A$10:$S$99,V$17,0)),"",IF((VLOOKUP($B31,Stammdaten!$A$10:$S$99,V$17,0)=0),"",(VLOOKUP($B31,Stammdaten!$A$10:$S$99,V$17,0))))</f>
        <v/>
      </c>
      <c r="W31" s="399" t="str">
        <f>IF(ISNA(VLOOKUP($B31,Stammdaten!$A$10:$S$99,W$17,0)),"",IF((VLOOKUP($B31,Stammdaten!$A$10:$S$99,W$17,0)=0),"",(VLOOKUP($B31,Stammdaten!$A$10:$S$99,W$17,0))))</f>
        <v>TE-000 Tempern</v>
      </c>
      <c r="X31" s="400" t="str">
        <f t="shared" si="0"/>
        <v/>
      </c>
      <c r="Y31" s="401" t="str">
        <f>IF(OR(B31=30,B31=31),Ablauf!$D$5,"")</f>
        <v/>
      </c>
      <c r="Z31" s="401" t="str">
        <f>IF(OR(B31=30,B31=31),Ablauf!V31,"")</f>
        <v/>
      </c>
      <c r="AA31" s="401" t="str">
        <f>IF(OR(B31=61,B31=62),Ablauf!$D$7,"")</f>
        <v/>
      </c>
      <c r="AB31" s="401" t="str">
        <f>IF(OR(B31=61,B31=62),Ablauf!V31,"")</f>
        <v/>
      </c>
      <c r="AC31" s="402" t="str">
        <f t="shared" si="1"/>
        <v/>
      </c>
      <c r="AD31" s="403">
        <f t="shared" si="8"/>
        <v>10</v>
      </c>
      <c r="AE31" s="408"/>
      <c r="AF31" s="502"/>
      <c r="AG31" s="407"/>
      <c r="AH31" s="409"/>
      <c r="AI31" s="505">
        <v>70</v>
      </c>
      <c r="AJ31" s="506">
        <v>20</v>
      </c>
      <c r="AK31" s="507"/>
      <c r="AL31" s="370"/>
      <c r="AM31" s="406">
        <f t="shared" si="9"/>
        <v>0</v>
      </c>
      <c r="AN31" s="406">
        <f t="shared" si="2"/>
        <v>0</v>
      </c>
    </row>
    <row r="32" spans="1:40" s="368" customFormat="1" ht="18" customHeight="1">
      <c r="A32" s="495">
        <v>13</v>
      </c>
      <c r="B32" s="497">
        <v>14</v>
      </c>
      <c r="C32" s="390" t="str">
        <f>IF(ISNA(VLOOKUP(B32,Stammdaten!$A$10:$S$99,$C$17,0)),"",IF((VLOOKUP(B32,Stammdaten!$A$10:$S$99,$C$17,0)=0),"",(VLOOKUP(B32,Stammdaten!$A$10:$S$99,$C$17,0))))</f>
        <v>Entformen</v>
      </c>
      <c r="D32" s="306"/>
      <c r="E32" s="498">
        <f t="shared" si="3"/>
        <v>30</v>
      </c>
      <c r="F32" s="499">
        <f t="shared" si="4"/>
        <v>6.7</v>
      </c>
      <c r="G32" s="499">
        <f t="shared" si="5"/>
        <v>0.5</v>
      </c>
      <c r="H32" s="499">
        <f t="shared" si="6"/>
        <v>1</v>
      </c>
      <c r="I32" s="391">
        <f>IF(ISNA(VLOOKUP($B32,Stammdaten!$A$10:$S$99,I$17,0)),"",IF((VLOOKUP($B32,Stammdaten!$A$10:$S$99,I$17,0)=0),"",(VLOOKUP($B32,Stammdaten!$A$10:$S$99,I$17,0))))</f>
        <v>2</v>
      </c>
      <c r="J32" s="392">
        <f>IF(ISNA(VLOOKUP($B32,Stammdaten!$A$10:$S$99,J$17,0)),"",IF((VLOOKUP($B32,Stammdaten!$A$10:$S$99,J$17,0)=0),"",(VLOOKUP($B32,Stammdaten!$A$10:$S$99,J$17,0))))</f>
        <v>14.8</v>
      </c>
      <c r="K32" s="393">
        <f>IF(ISNA(VLOOKUP($B32,Stammdaten!$A$10:$S$99,K$17,0)),"",IF((VLOOKUP($B32,Stammdaten!$A$10:$S$99,K$17,0)=0),"",(VLOOKUP($B32,Stammdaten!$A$10:$S$99,K$17,0))))</f>
        <v>10</v>
      </c>
      <c r="L32" s="394">
        <f t="shared" si="7"/>
        <v>30</v>
      </c>
      <c r="M32" s="395">
        <f>IF(ISNA(VLOOKUP($B32,Stammdaten!$A$10:$S$99,M$17,0)),"",IF((VLOOKUP($B32,Stammdaten!$A$10:$S$99,M$17,0)=0),"",(VLOOKUP($B32,Stammdaten!$A$10:$S$99,M$17,0))))</f>
        <v>3</v>
      </c>
      <c r="N32" s="395">
        <f>IF(ISNA(VLOOKUP($B32,Stammdaten!$A$10:$S$99,M$17,0)),"",VLOOKUP($B32,Stammdaten!$A$10:$S$99,N$17,0)*Fläche)</f>
        <v>3.7</v>
      </c>
      <c r="O32" s="395">
        <f>IF(ISNA(VLOOKUP($B32,Stammdaten!$A$10:$S$99,M$17,0)),"",VLOOKUP($B32,Stammdaten!$A$10:$S$99,O$17,0)/1000*$A$3*Fläche)</f>
        <v>0</v>
      </c>
      <c r="P32" s="395">
        <f t="shared" si="10"/>
        <v>6.7</v>
      </c>
      <c r="Q32" s="396">
        <f>IF(ISNA(VLOOKUP($B32,Stammdaten!$A$10:$S$99,Q$17,0)),"",IF((VLOOKUP($B32,Stammdaten!$A$10:$S$99,Q$17,0)=0),"",(VLOOKUP($B32,Stammdaten!$A$10:$S$99,Q$17,0))))</f>
        <v>0.5</v>
      </c>
      <c r="R32" s="395">
        <f>IF(ISNA(VLOOKUP($B32,Stammdaten!$A$10:$S$99,R$17,0)),"",IF((VLOOKUP($B32,Stammdaten!$A$10:$S$99,R$17,0)=0),"",(VLOOKUP($B32,Stammdaten!$A$10:$S$99,R$17,0))))</f>
        <v>1</v>
      </c>
      <c r="S32" s="397" t="str">
        <f>IF(ISNA(VLOOKUP($B32,Stammdaten!$A$10:$S$99,S$17,0)),"",IF((VLOOKUP($B32,Stammdaten!$A$10:$S$99,S$17,0)=0),"",(VLOOKUP($B32,Stammdaten!$A$10:$S$99,S$17,0))))</f>
        <v/>
      </c>
      <c r="T32" s="398" t="str">
        <f>IF(ISNA(VLOOKUP($B32,Stammdaten!$A$10:$S$99,T$17,0)),"",IF((VLOOKUP($B32,Stammdaten!$A$10:$S$99,T$17,0)=0),"",(VLOOKUP($B32,Stammdaten!$A$10:$S$99,T$17,0))))</f>
        <v/>
      </c>
      <c r="U32" s="398" t="str">
        <f>IF(ISNA(VLOOKUP($B32,Stammdaten!$A$10:$S$99,U$17,0)),"",IF((VLOOKUP($B32,Stammdaten!$A$10:$S$99,U$17,0)=0),"",(VLOOKUP($B32,Stammdaten!$A$10:$S$99,U$17,0))))</f>
        <v/>
      </c>
      <c r="V32" s="398" t="str">
        <f>IF(ISNA(VLOOKUP($B32,Stammdaten!$A$10:$S$99,V$17,0)),"",IF((VLOOKUP($B32,Stammdaten!$A$10:$S$99,V$17,0)=0),"",(VLOOKUP($B32,Stammdaten!$A$10:$S$99,V$17,0))))</f>
        <v/>
      </c>
      <c r="W32" s="399" t="str">
        <f>IF(ISNA(VLOOKUP($B32,Stammdaten!$A$10:$S$99,W$17,0)),"",IF((VLOOKUP($B32,Stammdaten!$A$10:$S$99,W$17,0)=0),"",(VLOOKUP($B32,Stammdaten!$A$10:$S$99,W$17,0))))</f>
        <v>EF-000 Entformen</v>
      </c>
      <c r="X32" s="400" t="str">
        <f t="shared" si="0"/>
        <v/>
      </c>
      <c r="Y32" s="401" t="str">
        <f>IF(OR(B32=30,B32=31),Ablauf!$D$5,"")</f>
        <v/>
      </c>
      <c r="Z32" s="401" t="str">
        <f>IF(OR(B32=30,B32=31),Ablauf!V32,"")</f>
        <v/>
      </c>
      <c r="AA32" s="401" t="str">
        <f>IF(OR(B32=61,B32=62),Ablauf!$D$7,"")</f>
        <v/>
      </c>
      <c r="AB32" s="401" t="str">
        <f>IF(OR(B32=61,B32=62),Ablauf!V32,"")</f>
        <v/>
      </c>
      <c r="AC32" s="402" t="str">
        <f t="shared" si="1"/>
        <v/>
      </c>
      <c r="AD32" s="403">
        <f t="shared" si="8"/>
        <v>30</v>
      </c>
      <c r="AE32" s="408"/>
      <c r="AF32" s="501">
        <v>30</v>
      </c>
      <c r="AG32" s="405" t="str">
        <f>IF(ISNA(VLOOKUP(AF32,Stammdaten!$A$10:$S$99,$C$17,0)),"",IF((VLOOKUP(AF32,Stammdaten!$A$10:$S$99,$C$17,0)=0),"",(VLOOKUP(AF32,Stammdaten!$A$10:$S$99,$C$17,0))))</f>
        <v>Gelcoat spritzen</v>
      </c>
      <c r="AH32" s="409"/>
      <c r="AI32" s="505">
        <v>14</v>
      </c>
      <c r="AJ32" s="506">
        <v>20</v>
      </c>
      <c r="AK32" s="507"/>
      <c r="AL32" s="370"/>
      <c r="AM32" s="406">
        <f t="shared" si="9"/>
        <v>0</v>
      </c>
      <c r="AN32" s="406">
        <f t="shared" si="2"/>
        <v>0</v>
      </c>
    </row>
    <row r="33" spans="1:40" s="368" customFormat="1" ht="18" customHeight="1">
      <c r="A33" s="495">
        <v>14</v>
      </c>
      <c r="B33" s="497">
        <v>80</v>
      </c>
      <c r="C33" s="390" t="str">
        <f>IF(ISNA(VLOOKUP(B33,Stammdaten!$A$10:$S$99,$C$17,0)),"",IF((VLOOKUP(B33,Stammdaten!$A$10:$S$99,$C$17,0)=0),"",(VLOOKUP(B33,Stammdaten!$A$10:$S$99,$C$17,0))))</f>
        <v xml:space="preserve">Beschneiden </v>
      </c>
      <c r="D33" s="306"/>
      <c r="E33" s="498">
        <f t="shared" si="3"/>
        <v>130</v>
      </c>
      <c r="F33" s="499">
        <f t="shared" si="4"/>
        <v>4.8499999999999996</v>
      </c>
      <c r="G33" s="499">
        <f t="shared" si="5"/>
        <v>2</v>
      </c>
      <c r="H33" s="499">
        <f t="shared" si="6"/>
        <v>0.2</v>
      </c>
      <c r="I33" s="391">
        <f>IF(ISNA(VLOOKUP($B33,Stammdaten!$A$10:$S$99,I$17,0)),"",IF((VLOOKUP($B33,Stammdaten!$A$10:$S$99,I$17,0)=0),"",(VLOOKUP($B33,Stammdaten!$A$10:$S$99,I$17,0))))</f>
        <v>3</v>
      </c>
      <c r="J33" s="392">
        <f>IF(ISNA(VLOOKUP($B33,Stammdaten!$A$10:$S$99,J$17,0)),"",IF((VLOOKUP($B33,Stammdaten!$A$10:$S$99,J$17,0)=0),"",(VLOOKUP($B33,Stammdaten!$A$10:$S$99,J$17,0))))</f>
        <v>120</v>
      </c>
      <c r="K33" s="393">
        <f>IF(ISNA(VLOOKUP($B33,Stammdaten!$A$10:$S$99,K$17,0)),"",IF((VLOOKUP($B33,Stammdaten!$A$10:$S$99,K$17,0)=0),"",(VLOOKUP($B33,Stammdaten!$A$10:$S$99,K$17,0))))</f>
        <v>10</v>
      </c>
      <c r="L33" s="394">
        <f t="shared" si="7"/>
        <v>130</v>
      </c>
      <c r="M33" s="395">
        <f>IF(ISNA(VLOOKUP($B33,Stammdaten!$A$10:$S$99,M$17,0)),"",IF((VLOOKUP($B33,Stammdaten!$A$10:$S$99,M$17,0)=0),"",(VLOOKUP($B33,Stammdaten!$A$10:$S$99,M$17,0))))</f>
        <v>3</v>
      </c>
      <c r="N33" s="395">
        <f>IF(ISNA(VLOOKUP($B33,Stammdaten!$A$10:$S$99,M$17,0)),"",VLOOKUP($B33,Stammdaten!$A$10:$S$99,N$17,0)*Fläche)</f>
        <v>1.85</v>
      </c>
      <c r="O33" s="395">
        <f>IF(ISNA(VLOOKUP($B33,Stammdaten!$A$10:$S$99,M$17,0)),"",VLOOKUP($B33,Stammdaten!$A$10:$S$99,O$17,0)/1000*$A$3*Fläche)</f>
        <v>0</v>
      </c>
      <c r="P33" s="395">
        <f t="shared" si="10"/>
        <v>4.8499999999999996</v>
      </c>
      <c r="Q33" s="396">
        <f>IF(ISNA(VLOOKUP($B33,Stammdaten!$A$10:$S$99,Q$17,0)),"",IF((VLOOKUP($B33,Stammdaten!$A$10:$S$99,Q$17,0)=0),"",(VLOOKUP($B33,Stammdaten!$A$10:$S$99,Q$17,0))))</f>
        <v>2</v>
      </c>
      <c r="R33" s="395">
        <f>IF(ISNA(VLOOKUP($B33,Stammdaten!$A$10:$S$99,R$17,0)),"",IF((VLOOKUP($B33,Stammdaten!$A$10:$S$99,R$17,0)=0),"",(VLOOKUP($B33,Stammdaten!$A$10:$S$99,R$17,0))))</f>
        <v>0.2</v>
      </c>
      <c r="S33" s="397" t="str">
        <f>IF(ISNA(VLOOKUP($B33,Stammdaten!$A$10:$S$99,S$17,0)),"",IF((VLOOKUP($B33,Stammdaten!$A$10:$S$99,S$17,0)=0),"",(VLOOKUP($B33,Stammdaten!$A$10:$S$99,S$17,0))))</f>
        <v/>
      </c>
      <c r="T33" s="398" t="str">
        <f>IF(ISNA(VLOOKUP($B33,Stammdaten!$A$10:$S$99,T$17,0)),"",IF((VLOOKUP($B33,Stammdaten!$A$10:$S$99,T$17,0)=0),"",(VLOOKUP($B33,Stammdaten!$A$10:$S$99,T$17,0))))</f>
        <v/>
      </c>
      <c r="U33" s="398" t="str">
        <f>IF(ISNA(VLOOKUP($B33,Stammdaten!$A$10:$S$99,U$17,0)),"",IF((VLOOKUP($B33,Stammdaten!$A$10:$S$99,U$17,0)=0),"",(VLOOKUP($B33,Stammdaten!$A$10:$S$99,U$17,0))))</f>
        <v/>
      </c>
      <c r="V33" s="398" t="str">
        <f>IF(ISNA(VLOOKUP($B33,Stammdaten!$A$10:$S$99,V$17,0)),"",IF((VLOOKUP($B33,Stammdaten!$A$10:$S$99,V$17,0)=0),"",(VLOOKUP($B33,Stammdaten!$A$10:$S$99,V$17,0))))</f>
        <v/>
      </c>
      <c r="W33" s="399" t="str">
        <f>IF(ISNA(VLOOKUP($B33,Stammdaten!$A$10:$S$99,W$17,0)),"",IF((VLOOKUP($B33,Stammdaten!$A$10:$S$99,W$17,0)=0),"",(VLOOKUP($B33,Stammdaten!$A$10:$S$99,W$17,0))))</f>
        <v>BS-000 Beschnitt</v>
      </c>
      <c r="X33" s="400">
        <f t="shared" si="0"/>
        <v>20</v>
      </c>
      <c r="Y33" s="401" t="str">
        <f>IF(OR(B33=30,B33=31),Ablauf!$D$5,"")</f>
        <v/>
      </c>
      <c r="Z33" s="401" t="str">
        <f>IF(OR(B33=30,B33=31),Ablauf!V33,"")</f>
        <v/>
      </c>
      <c r="AA33" s="401" t="str">
        <f>IF(OR(B33=61,B33=62),Ablauf!$D$7,"")</f>
        <v/>
      </c>
      <c r="AB33" s="401" t="str">
        <f>IF(OR(B33=61,B33=62),Ablauf!V33,"")</f>
        <v/>
      </c>
      <c r="AC33" s="402" t="str">
        <f t="shared" si="1"/>
        <v/>
      </c>
      <c r="AD33" s="403">
        <f t="shared" si="8"/>
        <v>130</v>
      </c>
      <c r="AF33" s="501">
        <v>31</v>
      </c>
      <c r="AG33" s="405" t="str">
        <f>IF(ISNA(VLOOKUP(AF33,Stammdaten!$A$10:$S$99,$C$17,0)),"",IF((VLOOKUP(AF33,Stammdaten!$A$10:$S$99,$C$17,0)=0),"",(VLOOKUP(AF33,Stammdaten!$A$10:$S$99,$C$17,0))))</f>
        <v>Gelcoat streichen</v>
      </c>
      <c r="AH33" s="409"/>
      <c r="AI33" s="505">
        <v>80</v>
      </c>
      <c r="AJ33" s="506">
        <v>70</v>
      </c>
      <c r="AK33" s="507"/>
      <c r="AL33" s="370"/>
      <c r="AM33" s="406">
        <f t="shared" si="9"/>
        <v>2</v>
      </c>
      <c r="AN33" s="406">
        <f t="shared" si="2"/>
        <v>0</v>
      </c>
    </row>
    <row r="34" spans="1:40" s="368" customFormat="1" ht="18" customHeight="1">
      <c r="A34" s="495">
        <v>15</v>
      </c>
      <c r="B34" s="497">
        <v>82</v>
      </c>
      <c r="C34" s="390" t="str">
        <f>IF(ISNA(VLOOKUP(B34,Stammdaten!$A$10:$S$99,$C$17,0)),"",IF((VLOOKUP(B34,Stammdaten!$A$10:$S$99,$C$17,0)=0),"",(VLOOKUP(B34,Stammdaten!$A$10:$S$99,$C$17,0))))</f>
        <v>Montage Zukaufteile</v>
      </c>
      <c r="D34" s="306"/>
      <c r="E34" s="498">
        <f t="shared" si="3"/>
        <v>130</v>
      </c>
      <c r="F34" s="499" t="str">
        <f t="shared" si="4"/>
        <v/>
      </c>
      <c r="G34" s="499" t="str">
        <f t="shared" si="5"/>
        <v/>
      </c>
      <c r="H34" s="499" t="str">
        <f t="shared" si="6"/>
        <v/>
      </c>
      <c r="I34" s="391">
        <f>IF(ISNA(VLOOKUP($B34,Stammdaten!$A$10:$S$99,I$17,0)),"",IF((VLOOKUP($B34,Stammdaten!$A$10:$S$99,I$17,0)=0),"",(VLOOKUP($B34,Stammdaten!$A$10:$S$99,I$17,0))))</f>
        <v>4</v>
      </c>
      <c r="J34" s="392">
        <f>IF(ISNA(VLOOKUP($B34,Stammdaten!$A$10:$S$99,J$17,0)),"",IF((VLOOKUP($B34,Stammdaten!$A$10:$S$99,J$17,0)=0),"",(VLOOKUP($B34,Stammdaten!$A$10:$S$99,J$17,0))))</f>
        <v>111</v>
      </c>
      <c r="K34" s="393">
        <f>IF(ISNA(VLOOKUP($B34,Stammdaten!$A$10:$S$99,K$17,0)),"",IF((VLOOKUP($B34,Stammdaten!$A$10:$S$99,K$17,0)=0),"",(VLOOKUP($B34,Stammdaten!$A$10:$S$99,K$17,0))))</f>
        <v>10</v>
      </c>
      <c r="L34" s="394">
        <f t="shared" si="7"/>
        <v>130</v>
      </c>
      <c r="M34" s="395" t="str">
        <f>IF(ISNA(VLOOKUP($B34,Stammdaten!$A$10:$S$99,M$17,0)),"",IF((VLOOKUP($B34,Stammdaten!$A$10:$S$99,M$17,0)=0),"",(VLOOKUP($B34,Stammdaten!$A$10:$S$99,M$17,0))))</f>
        <v/>
      </c>
      <c r="N34" s="395">
        <f>IF(ISNA(VLOOKUP($B34,Stammdaten!$A$10:$S$99,M$17,0)),"",VLOOKUP($B34,Stammdaten!$A$10:$S$99,N$17,0)*Fläche)</f>
        <v>0</v>
      </c>
      <c r="O34" s="395">
        <f>IF(ISNA(VLOOKUP($B34,Stammdaten!$A$10:$S$99,M$17,0)),"",VLOOKUP($B34,Stammdaten!$A$10:$S$99,O$17,0)/1000*$A$3*Fläche)</f>
        <v>0</v>
      </c>
      <c r="P34" s="395" t="str">
        <f t="shared" si="10"/>
        <v/>
      </c>
      <c r="Q34" s="396" t="str">
        <f>IF(ISNA(VLOOKUP($B34,Stammdaten!$A$10:$S$99,Q$17,0)),"",IF((VLOOKUP($B34,Stammdaten!$A$10:$S$99,Q$17,0)=0),"",(VLOOKUP($B34,Stammdaten!$A$10:$S$99,Q$17,0))))</f>
        <v/>
      </c>
      <c r="R34" s="395" t="str">
        <f>IF(ISNA(VLOOKUP($B34,Stammdaten!$A$10:$S$99,R$17,0)),"",IF((VLOOKUP($B34,Stammdaten!$A$10:$S$99,R$17,0)=0),"",(VLOOKUP($B34,Stammdaten!$A$10:$S$99,R$17,0))))</f>
        <v/>
      </c>
      <c r="S34" s="397" t="str">
        <f>IF(ISNA(VLOOKUP($B34,Stammdaten!$A$10:$S$99,S$17,0)),"",IF((VLOOKUP($B34,Stammdaten!$A$10:$S$99,S$17,0)=0),"",(VLOOKUP($B34,Stammdaten!$A$10:$S$99,S$17,0))))</f>
        <v/>
      </c>
      <c r="T34" s="398" t="str">
        <f>IF(ISNA(VLOOKUP($B34,Stammdaten!$A$10:$S$99,T$17,0)),"",IF((VLOOKUP($B34,Stammdaten!$A$10:$S$99,T$17,0)=0),"",(VLOOKUP($B34,Stammdaten!$A$10:$S$99,T$17,0))))</f>
        <v/>
      </c>
      <c r="U34" s="398" t="str">
        <f>IF(ISNA(VLOOKUP($B34,Stammdaten!$A$10:$S$99,U$17,0)),"",IF((VLOOKUP($B34,Stammdaten!$A$10:$S$99,U$17,0)=0),"",(VLOOKUP($B34,Stammdaten!$A$10:$S$99,U$17,0))))</f>
        <v/>
      </c>
      <c r="V34" s="398" t="str">
        <f>IF(ISNA(VLOOKUP($B34,Stammdaten!$A$10:$S$99,V$17,0)),"",IF((VLOOKUP($B34,Stammdaten!$A$10:$S$99,V$17,0)=0),"",(VLOOKUP($B34,Stammdaten!$A$10:$S$99,V$17,0))))</f>
        <v/>
      </c>
      <c r="W34" s="399" t="str">
        <f>IF(ISNA(VLOOKUP($B34,Stammdaten!$A$10:$S$99,W$17,0)),"",IF((VLOOKUP($B34,Stammdaten!$A$10:$S$99,W$17,0)=0),"",(VLOOKUP($B34,Stammdaten!$A$10:$S$99,W$17,0))))</f>
        <v/>
      </c>
      <c r="X34" s="400" t="str">
        <f t="shared" si="0"/>
        <v/>
      </c>
      <c r="Y34" s="401" t="str">
        <f>IF(OR(B34=30,B34=31),Ablauf!$D$5,"")</f>
        <v/>
      </c>
      <c r="Z34" s="401" t="str">
        <f>IF(OR(B34=30,B34=31),Ablauf!V34,"")</f>
        <v/>
      </c>
      <c r="AA34" s="401" t="str">
        <f>IF(OR(B34=61,B34=62),Ablauf!$D$7,"")</f>
        <v/>
      </c>
      <c r="AB34" s="401" t="str">
        <f>IF(OR(B34=61,B34=62),Ablauf!V34,"")</f>
        <v/>
      </c>
      <c r="AC34" s="402" t="str">
        <f t="shared" si="1"/>
        <v/>
      </c>
      <c r="AD34" s="403">
        <f t="shared" si="8"/>
        <v>130</v>
      </c>
      <c r="AF34" s="502"/>
      <c r="AG34" s="407"/>
      <c r="AH34" s="409"/>
      <c r="AI34" s="505">
        <v>82</v>
      </c>
      <c r="AJ34" s="506">
        <v>70</v>
      </c>
      <c r="AK34" s="507"/>
      <c r="AL34" s="370"/>
      <c r="AM34" s="406">
        <f t="shared" si="9"/>
        <v>0</v>
      </c>
      <c r="AN34" s="406">
        <f t="shared" si="2"/>
        <v>0</v>
      </c>
    </row>
    <row r="35" spans="1:40" s="368" customFormat="1" ht="18" customHeight="1">
      <c r="A35" s="495">
        <v>16</v>
      </c>
      <c r="B35" s="497">
        <v>90</v>
      </c>
      <c r="C35" s="390" t="str">
        <f>IF(ISNA(VLOOKUP(B35,Stammdaten!$A$10:$S$99,$C$17,0)),"",IF((VLOOKUP(B35,Stammdaten!$A$10:$S$99,$C$17,0)=0),"",(VLOOKUP(B35,Stammdaten!$A$10:$S$99,$C$17,0))))</f>
        <v>Qualitätsprüfung</v>
      </c>
      <c r="D35" s="306"/>
      <c r="E35" s="498">
        <f t="shared" si="3"/>
        <v>70</v>
      </c>
      <c r="F35" s="499">
        <f t="shared" si="4"/>
        <v>4</v>
      </c>
      <c r="G35" s="499" t="str">
        <f t="shared" si="5"/>
        <v/>
      </c>
      <c r="H35" s="499">
        <f t="shared" si="6"/>
        <v>2</v>
      </c>
      <c r="I35" s="391">
        <f>IF(ISNA(VLOOKUP($B35,Stammdaten!$A$10:$S$99,I$17,0)),"",IF((VLOOKUP($B35,Stammdaten!$A$10:$S$99,I$17,0)=0),"",(VLOOKUP($B35,Stammdaten!$A$10:$S$99,I$17,0))))</f>
        <v>5</v>
      </c>
      <c r="J35" s="392">
        <f>IF(ISNA(VLOOKUP($B35,Stammdaten!$A$10:$S$99,J$17,0)),"",IF((VLOOKUP($B35,Stammdaten!$A$10:$S$99,J$17,0)=0),"",(VLOOKUP($B35,Stammdaten!$A$10:$S$99,J$17,0))))</f>
        <v>55.5</v>
      </c>
      <c r="K35" s="393">
        <f>IF(ISNA(VLOOKUP($B35,Stammdaten!$A$10:$S$99,K$17,0)),"",IF((VLOOKUP($B35,Stammdaten!$A$10:$S$99,K$17,0)=0),"",(VLOOKUP($B35,Stammdaten!$A$10:$S$99,K$17,0))))</f>
        <v>5</v>
      </c>
      <c r="L35" s="394">
        <f t="shared" si="7"/>
        <v>70</v>
      </c>
      <c r="M35" s="395">
        <f>IF(ISNA(VLOOKUP($B35,Stammdaten!$A$10:$S$99,M$17,0)),"",IF((VLOOKUP($B35,Stammdaten!$A$10:$S$99,M$17,0)=0),"",(VLOOKUP($B35,Stammdaten!$A$10:$S$99,M$17,0))))</f>
        <v>4</v>
      </c>
      <c r="N35" s="395">
        <f>IF(ISNA(VLOOKUP($B35,Stammdaten!$A$10:$S$99,M$17,0)),"",VLOOKUP($B35,Stammdaten!$A$10:$S$99,N$17,0)*Fläche)</f>
        <v>0</v>
      </c>
      <c r="O35" s="395">
        <f>IF(ISNA(VLOOKUP($B35,Stammdaten!$A$10:$S$99,M$17,0)),"",VLOOKUP($B35,Stammdaten!$A$10:$S$99,O$17,0)/1000*$A$3*Fläche)</f>
        <v>0</v>
      </c>
      <c r="P35" s="395">
        <f t="shared" si="10"/>
        <v>4</v>
      </c>
      <c r="Q35" s="396" t="str">
        <f>IF(ISNA(VLOOKUP($B35,Stammdaten!$A$10:$S$99,Q$17,0)),"",IF((VLOOKUP($B35,Stammdaten!$A$10:$S$99,Q$17,0)=0),"",(VLOOKUP($B35,Stammdaten!$A$10:$S$99,Q$17,0))))</f>
        <v/>
      </c>
      <c r="R35" s="395">
        <f>IF(ISNA(VLOOKUP($B35,Stammdaten!$A$10:$S$99,R$17,0)),"",IF((VLOOKUP($B35,Stammdaten!$A$10:$S$99,R$17,0)=0),"",(VLOOKUP($B35,Stammdaten!$A$10:$S$99,R$17,0))))</f>
        <v>2</v>
      </c>
      <c r="S35" s="397" t="str">
        <f>IF(ISNA(VLOOKUP($B35,Stammdaten!$A$10:$S$99,S$17,0)),"",IF((VLOOKUP($B35,Stammdaten!$A$10:$S$99,S$17,0)=0),"",(VLOOKUP($B35,Stammdaten!$A$10:$S$99,S$17,0))))</f>
        <v/>
      </c>
      <c r="T35" s="398" t="str">
        <f>IF(ISNA(VLOOKUP($B35,Stammdaten!$A$10:$S$99,T$17,0)),"",IF((VLOOKUP($B35,Stammdaten!$A$10:$S$99,T$17,0)=0),"",(VLOOKUP($B35,Stammdaten!$A$10:$S$99,T$17,0))))</f>
        <v/>
      </c>
      <c r="U35" s="398" t="str">
        <f>IF(ISNA(VLOOKUP($B35,Stammdaten!$A$10:$S$99,U$17,0)),"",IF((VLOOKUP($B35,Stammdaten!$A$10:$S$99,U$17,0)=0),"",(VLOOKUP($B35,Stammdaten!$A$10:$S$99,U$17,0))))</f>
        <v/>
      </c>
      <c r="V35" s="398" t="str">
        <f>IF(ISNA(VLOOKUP($B35,Stammdaten!$A$10:$S$99,V$17,0)),"",IF((VLOOKUP($B35,Stammdaten!$A$10:$S$99,V$17,0)=0),"",(VLOOKUP($B35,Stammdaten!$A$10:$S$99,V$17,0))))</f>
        <v/>
      </c>
      <c r="W35" s="399" t="str">
        <f>IF(ISNA(VLOOKUP($B35,Stammdaten!$A$10:$S$99,W$17,0)),"",IF((VLOOKUP($B35,Stammdaten!$A$10:$S$99,W$17,0)=0),"",(VLOOKUP($B35,Stammdaten!$A$10:$S$99,W$17,0))))</f>
        <v>QK-000 Endkontrolle</v>
      </c>
      <c r="X35" s="400" t="str">
        <f t="shared" si="0"/>
        <v/>
      </c>
      <c r="Y35" s="401" t="str">
        <f>IF(OR(B35=30,B35=31),Ablauf!$D$5,"")</f>
        <v/>
      </c>
      <c r="Z35" s="401" t="str">
        <f>IF(OR(B35=30,B35=31),Ablauf!V35,"")</f>
        <v/>
      </c>
      <c r="AA35" s="401" t="str">
        <f>IF(OR(B35=61,B35=62),Ablauf!$D$7,"")</f>
        <v/>
      </c>
      <c r="AB35" s="401" t="str">
        <f>IF(OR(B35=61,B35=62),Ablauf!V35,"")</f>
        <v/>
      </c>
      <c r="AC35" s="402">
        <f t="shared" si="1"/>
        <v>4.5199999999999996</v>
      </c>
      <c r="AD35" s="403">
        <f t="shared" si="8"/>
        <v>70</v>
      </c>
      <c r="AF35" s="501">
        <v>40</v>
      </c>
      <c r="AG35" s="405" t="str">
        <f>IF(ISNA(VLOOKUP(AF35,Stammdaten!$A$10:$S$99,$C$17,0)),"",IF((VLOOKUP(AF35,Stammdaten!$A$10:$S$99,$C$17,0)=0),"",(VLOOKUP(AF35,Stammdaten!$A$10:$S$99,$C$17,0))))</f>
        <v>Abreissgewebe 83 g/m²</v>
      </c>
      <c r="AH35" s="409"/>
      <c r="AI35" s="505">
        <v>90</v>
      </c>
      <c r="AJ35" s="506">
        <v>14</v>
      </c>
      <c r="AK35" s="507"/>
      <c r="AL35" s="370"/>
      <c r="AM35" s="406">
        <f t="shared" si="9"/>
        <v>1</v>
      </c>
      <c r="AN35" s="406">
        <f t="shared" si="2"/>
        <v>83</v>
      </c>
    </row>
    <row r="36" spans="1:40" s="368" customFormat="1" ht="18" customHeight="1">
      <c r="A36" s="495">
        <v>17</v>
      </c>
      <c r="B36" s="497">
        <v>91</v>
      </c>
      <c r="C36" s="390" t="str">
        <f>IF(ISNA(VLOOKUP(B36,Stammdaten!$A$10:$S$99,$C$17,0)),"",IF((VLOOKUP(B36,Stammdaten!$A$10:$S$99,$C$17,0)=0),"",(VLOOKUP(B36,Stammdaten!$A$10:$S$99,$C$17,0))))</f>
        <v>Versand Vorbereitung</v>
      </c>
      <c r="D36" s="306"/>
      <c r="E36" s="498">
        <f t="shared" si="3"/>
        <v>70</v>
      </c>
      <c r="F36" s="499">
        <f t="shared" si="4"/>
        <v>4</v>
      </c>
      <c r="G36" s="499" t="str">
        <f t="shared" si="5"/>
        <v/>
      </c>
      <c r="H36" s="499">
        <f t="shared" si="6"/>
        <v>2</v>
      </c>
      <c r="I36" s="391">
        <f>IF(ISNA(VLOOKUP($B36,Stammdaten!$A$10:$S$99,I$17,0)),"",IF((VLOOKUP($B36,Stammdaten!$A$10:$S$99,I$17,0)=0),"",(VLOOKUP($B36,Stammdaten!$A$10:$S$99,I$17,0))))</f>
        <v>6</v>
      </c>
      <c r="J36" s="392">
        <f>IF(ISNA(VLOOKUP($B36,Stammdaten!$A$10:$S$99,J$17,0)),"",IF((VLOOKUP($B36,Stammdaten!$A$10:$S$99,J$17,0)=0),"",(VLOOKUP($B36,Stammdaten!$A$10:$S$99,J$17,0))))</f>
        <v>55.5</v>
      </c>
      <c r="K36" s="393">
        <f>IF(ISNA(VLOOKUP($B36,Stammdaten!$A$10:$S$99,K$17,0)),"",IF((VLOOKUP($B36,Stammdaten!$A$10:$S$99,K$17,0)=0),"",(VLOOKUP($B36,Stammdaten!$A$10:$S$99,K$17,0))))</f>
        <v>5</v>
      </c>
      <c r="L36" s="394">
        <f t="shared" si="7"/>
        <v>70</v>
      </c>
      <c r="M36" s="395">
        <f>IF(ISNA(VLOOKUP($B36,Stammdaten!$A$10:$S$99,M$17,0)),"",IF((VLOOKUP($B36,Stammdaten!$A$10:$S$99,M$17,0)=0),"",(VLOOKUP($B36,Stammdaten!$A$10:$S$99,M$17,0))))</f>
        <v>4</v>
      </c>
      <c r="N36" s="395">
        <f>IF(ISNA(VLOOKUP($B36,Stammdaten!$A$10:$S$99,M$17,0)),"",VLOOKUP($B36,Stammdaten!$A$10:$S$99,N$17,0)*Fläche)</f>
        <v>0</v>
      </c>
      <c r="O36" s="395">
        <f>IF(ISNA(VLOOKUP($B36,Stammdaten!$A$10:$S$99,M$17,0)),"",VLOOKUP($B36,Stammdaten!$A$10:$S$99,O$17,0)/1000*$A$3*Fläche)</f>
        <v>0</v>
      </c>
      <c r="P36" s="395">
        <f t="shared" si="10"/>
        <v>4</v>
      </c>
      <c r="Q36" s="396" t="str">
        <f>IF(ISNA(VLOOKUP($B36,Stammdaten!$A$10:$S$99,Q$17,0)),"",IF((VLOOKUP($B36,Stammdaten!$A$10:$S$99,Q$17,0)=0),"",(VLOOKUP($B36,Stammdaten!$A$10:$S$99,Q$17,0))))</f>
        <v/>
      </c>
      <c r="R36" s="395">
        <f>IF(ISNA(VLOOKUP($B36,Stammdaten!$A$10:$S$99,R$17,0)),"",IF((VLOOKUP($B36,Stammdaten!$A$10:$S$99,R$17,0)=0),"",(VLOOKUP($B36,Stammdaten!$A$10:$S$99,R$17,0))))</f>
        <v>2</v>
      </c>
      <c r="S36" s="397" t="str">
        <f>IF(ISNA(VLOOKUP($B36,Stammdaten!$A$10:$S$99,S$17,0)),"",IF((VLOOKUP($B36,Stammdaten!$A$10:$S$99,S$17,0)=0),"",(VLOOKUP($B36,Stammdaten!$A$10:$S$99,S$17,0))))</f>
        <v/>
      </c>
      <c r="T36" s="398" t="str">
        <f>IF(ISNA(VLOOKUP($B36,Stammdaten!$A$10:$S$99,T$17,0)),"",IF((VLOOKUP($B36,Stammdaten!$A$10:$S$99,T$17,0)=0),"",(VLOOKUP($B36,Stammdaten!$A$10:$S$99,T$17,0))))</f>
        <v/>
      </c>
      <c r="U36" s="398" t="str">
        <f>IF(ISNA(VLOOKUP($B36,Stammdaten!$A$10:$S$99,U$17,0)),"",IF((VLOOKUP($B36,Stammdaten!$A$10:$S$99,U$17,0)=0),"",(VLOOKUP($B36,Stammdaten!$A$10:$S$99,U$17,0))))</f>
        <v/>
      </c>
      <c r="V36" s="398" t="str">
        <f>IF(ISNA(VLOOKUP($B36,Stammdaten!$A$10:$S$99,V$17,0)),"",IF((VLOOKUP($B36,Stammdaten!$A$10:$S$99,V$17,0)=0),"",(VLOOKUP($B36,Stammdaten!$A$10:$S$99,V$17,0))))</f>
        <v/>
      </c>
      <c r="W36" s="399" t="str">
        <f>IF(ISNA(VLOOKUP($B36,Stammdaten!$A$10:$S$99,W$17,0)),"",IF((VLOOKUP($B36,Stammdaten!$A$10:$S$99,W$17,0)=0),"",(VLOOKUP($B36,Stammdaten!$A$10:$S$99,W$17,0))))</f>
        <v>VE-000 Versand</v>
      </c>
      <c r="X36" s="400" t="str">
        <f t="shared" si="0"/>
        <v/>
      </c>
      <c r="Y36" s="401" t="str">
        <f>IF(OR(B36=30,B36=31),Ablauf!$D$5,"")</f>
        <v/>
      </c>
      <c r="Z36" s="401" t="str">
        <f>IF(OR(B36=30,B36=31),Ablauf!V36,"")</f>
        <v/>
      </c>
      <c r="AA36" s="401" t="str">
        <f>IF(OR(B36=61,B36=62),Ablauf!$D$7,"")</f>
        <v/>
      </c>
      <c r="AB36" s="401" t="str">
        <f>IF(OR(B36=61,B36=62),Ablauf!V36,"")</f>
        <v/>
      </c>
      <c r="AC36" s="402">
        <f t="shared" si="1"/>
        <v>4.5199999999999996</v>
      </c>
      <c r="AD36" s="403">
        <f t="shared" si="8"/>
        <v>70</v>
      </c>
      <c r="AF36" s="501">
        <v>41</v>
      </c>
      <c r="AG36" s="405" t="str">
        <f>IF(ISNA(VLOOKUP(AF36,Stammdaten!$A$10:$S$99,$C$17,0)),"",IF((VLOOKUP(AF36,Stammdaten!$A$10:$S$99,$C$17,0)=0),"",(VLOOKUP(AF36,Stammdaten!$A$10:$S$99,$C$17,0))))</f>
        <v>Glasfasermatte 150 g/m²</v>
      </c>
      <c r="AH36" s="409"/>
      <c r="AI36" s="505">
        <v>91</v>
      </c>
      <c r="AJ36" s="506">
        <v>80</v>
      </c>
      <c r="AK36" s="507"/>
      <c r="AL36" s="370"/>
      <c r="AM36" s="406">
        <f t="shared" si="9"/>
        <v>0</v>
      </c>
      <c r="AN36" s="406">
        <f t="shared" si="2"/>
        <v>0</v>
      </c>
    </row>
    <row r="37" spans="1:40" ht="18" customHeight="1">
      <c r="A37" s="495">
        <v>18</v>
      </c>
      <c r="B37" s="497"/>
      <c r="C37" s="390" t="str">
        <f>IF(ISNA(VLOOKUP(B37,Stammdaten!$A$10:$S$99,$C$17,0)),"",IF((VLOOKUP(B37,Stammdaten!$A$10:$S$99,$C$17,0)=0),"",(VLOOKUP(B37,Stammdaten!$A$10:$S$99,$C$17,0))))</f>
        <v/>
      </c>
      <c r="D37" s="306"/>
      <c r="E37" s="498" t="str">
        <f t="shared" si="3"/>
        <v/>
      </c>
      <c r="F37" s="499" t="str">
        <f t="shared" si="4"/>
        <v/>
      </c>
      <c r="G37" s="499" t="str">
        <f t="shared" si="5"/>
        <v/>
      </c>
      <c r="H37" s="499" t="str">
        <f t="shared" si="6"/>
        <v/>
      </c>
      <c r="I37" s="391" t="str">
        <f>IF(ISNA(VLOOKUP($B37,Stammdaten!$A$10:$S$99,I$17,0)),"",IF((VLOOKUP($B37,Stammdaten!$A$10:$S$99,I$17,0)=0),"",(VLOOKUP($B37,Stammdaten!$A$10:$S$99,I$17,0))))</f>
        <v/>
      </c>
      <c r="J37" s="392" t="str">
        <f>IF(ISNA(VLOOKUP($B37,Stammdaten!$A$10:$S$99,J$17,0)),"",IF((VLOOKUP($B37,Stammdaten!$A$10:$S$99,J$17,0)=0),"",(VLOOKUP($B37,Stammdaten!$A$10:$S$99,J$17,0))))</f>
        <v/>
      </c>
      <c r="K37" s="393" t="str">
        <f>IF(ISNA(VLOOKUP($B37,Stammdaten!$A$10:$S$99,K$17,0)),"",IF((VLOOKUP($B37,Stammdaten!$A$10:$S$99,K$17,0)=0),"",(VLOOKUP($B37,Stammdaten!$A$10:$S$99,K$17,0))))</f>
        <v/>
      </c>
      <c r="L37" s="394" t="str">
        <f t="shared" si="7"/>
        <v/>
      </c>
      <c r="M37" s="395" t="str">
        <f>IF(ISNA(VLOOKUP($B37,Stammdaten!$A$10:$S$99,M$17,0)),"",IF((VLOOKUP($B37,Stammdaten!$A$10:$S$99,M$17,0)=0),"",(VLOOKUP($B37,Stammdaten!$A$10:$S$99,M$17,0))))</f>
        <v/>
      </c>
      <c r="N37" s="395" t="str">
        <f>IF(ISNA(VLOOKUP($B37,Stammdaten!$A$10:$S$99,M$17,0)),"",VLOOKUP($B37,Stammdaten!$A$10:$S$99,N$17,0)*Fläche)</f>
        <v/>
      </c>
      <c r="O37" s="395" t="str">
        <f>IF(ISNA(VLOOKUP($B37,Stammdaten!$A$10:$S$99,M$17,0)),"",VLOOKUP($B37,Stammdaten!$A$10:$S$99,O$17,0)/1000*$A$3*Fläche)</f>
        <v/>
      </c>
      <c r="P37" s="395" t="str">
        <f t="shared" ref="P37:P59" si="11">IF(SUM(M37:O37)=0,"",SUM(M37:O37))</f>
        <v/>
      </c>
      <c r="Q37" s="396" t="str">
        <f>IF(ISNA(VLOOKUP($B37,Stammdaten!$A$10:$S$99,Q$17,0)),"",IF((VLOOKUP($B37,Stammdaten!$A$10:$S$99,Q$17,0)=0),"",(VLOOKUP($B37,Stammdaten!$A$10:$S$99,Q$17,0))))</f>
        <v/>
      </c>
      <c r="R37" s="395" t="str">
        <f>IF(ISNA(VLOOKUP($B37,Stammdaten!$A$10:$S$99,R$17,0)),"",IF((VLOOKUP($B37,Stammdaten!$A$10:$S$99,R$17,0)=0),"",(VLOOKUP($B37,Stammdaten!$A$10:$S$99,R$17,0))))</f>
        <v/>
      </c>
      <c r="S37" s="397" t="str">
        <f>IF(ISNA(VLOOKUP($B37,Stammdaten!$A$10:$S$99,S$17,0)),"",IF((VLOOKUP($B37,Stammdaten!$A$10:$S$99,S$17,0)=0),"",(VLOOKUP($B37,Stammdaten!$A$10:$S$99,S$17,0))))</f>
        <v/>
      </c>
      <c r="T37" s="398" t="str">
        <f>IF(ISNA(VLOOKUP($B37,Stammdaten!$A$10:$S$99,T$17,0)),"",IF((VLOOKUP($B37,Stammdaten!$A$10:$S$99,T$17,0)=0),"",(VLOOKUP($B37,Stammdaten!$A$10:$S$99,T$17,0))))</f>
        <v/>
      </c>
      <c r="U37" s="398" t="str">
        <f>IF(ISNA(VLOOKUP($B37,Stammdaten!$A$10:$S$99,U$17,0)),"",IF((VLOOKUP($B37,Stammdaten!$A$10:$S$99,U$17,0)=0),"",(VLOOKUP($B37,Stammdaten!$A$10:$S$99,U$17,0))))</f>
        <v/>
      </c>
      <c r="V37" s="398" t="str">
        <f>IF(ISNA(VLOOKUP($B37,Stammdaten!$A$10:$S$99,V$17,0)),"",IF((VLOOKUP($B37,Stammdaten!$A$10:$S$99,V$17,0)=0),"",(VLOOKUP($B37,Stammdaten!$A$10:$S$99,V$17,0))))</f>
        <v/>
      </c>
      <c r="W37" s="399" t="str">
        <f>IF(ISNA(VLOOKUP($B37,Stammdaten!$A$10:$S$99,W$17,0)),"",IF((VLOOKUP($B37,Stammdaten!$A$10:$S$99,W$17,0)=0),"",(VLOOKUP($B37,Stammdaten!$A$10:$S$99,W$17,0))))</f>
        <v/>
      </c>
      <c r="X37" s="400" t="str">
        <f t="shared" si="0"/>
        <v/>
      </c>
      <c r="Y37" s="401" t="str">
        <f>IF(OR(B37=30,B37=31),Ablauf!$D$5,"")</f>
        <v/>
      </c>
      <c r="Z37" s="401" t="str">
        <f>IF(OR(B37=30,B37=31),Ablauf!V37,"")</f>
        <v/>
      </c>
      <c r="AA37" s="401" t="str">
        <f>IF(OR(B37=61,B37=62),Ablauf!$D$7,"")</f>
        <v/>
      </c>
      <c r="AB37" s="401" t="str">
        <f>IF(OR(B37=61,B37=62),Ablauf!V37,"")</f>
        <v/>
      </c>
      <c r="AC37" s="402" t="str">
        <f t="shared" si="1"/>
        <v/>
      </c>
      <c r="AD37" s="403" t="str">
        <f t="shared" si="8"/>
        <v/>
      </c>
      <c r="AF37" s="501">
        <v>42</v>
      </c>
      <c r="AG37" s="405" t="str">
        <f>IF(ISNA(VLOOKUP(AF37,Stammdaten!$A$10:$S$99,$C$17,0)),"",IF((VLOOKUP(AF37,Stammdaten!$A$10:$S$99,$C$17,0)=0),"",(VLOOKUP(AF37,Stammdaten!$A$10:$S$99,$C$17,0))))</f>
        <v>Glasfasermatte 450 g/m²</v>
      </c>
      <c r="AH37" s="409"/>
      <c r="AI37" s="508"/>
      <c r="AJ37" s="506">
        <v>82</v>
      </c>
      <c r="AK37" s="509"/>
      <c r="AL37" s="410"/>
      <c r="AM37" s="406">
        <f t="shared" si="9"/>
        <v>0</v>
      </c>
      <c r="AN37" s="406">
        <f t="shared" si="2"/>
        <v>0</v>
      </c>
    </row>
    <row r="38" spans="1:40" ht="18" customHeight="1">
      <c r="A38" s="495">
        <v>19</v>
      </c>
      <c r="B38" s="497"/>
      <c r="C38" s="390" t="str">
        <f>IF(ISNA(VLOOKUP(B38,Stammdaten!$A$10:$S$99,$C$17,0)),"",IF((VLOOKUP(B38,Stammdaten!$A$10:$S$99,$C$17,0)=0),"",(VLOOKUP(B38,Stammdaten!$A$10:$S$99,$C$17,0))))</f>
        <v/>
      </c>
      <c r="D38" s="306"/>
      <c r="E38" s="498" t="str">
        <f t="shared" si="3"/>
        <v/>
      </c>
      <c r="F38" s="499" t="str">
        <f t="shared" si="4"/>
        <v/>
      </c>
      <c r="G38" s="499" t="str">
        <f t="shared" si="5"/>
        <v/>
      </c>
      <c r="H38" s="499" t="str">
        <f t="shared" si="6"/>
        <v/>
      </c>
      <c r="I38" s="391" t="str">
        <f>IF(ISNA(VLOOKUP($B38,Stammdaten!$A$10:$S$99,I$17,0)),"",IF((VLOOKUP($B38,Stammdaten!$A$10:$S$99,I$17,0)=0),"",(VLOOKUP($B38,Stammdaten!$A$10:$S$99,I$17,0))))</f>
        <v/>
      </c>
      <c r="J38" s="392" t="str">
        <f>IF(ISNA(VLOOKUP($B38,Stammdaten!$A$10:$S$99,J$17,0)),"",IF((VLOOKUP($B38,Stammdaten!$A$10:$S$99,J$17,0)=0),"",(VLOOKUP($B38,Stammdaten!$A$10:$S$99,J$17,0))))</f>
        <v/>
      </c>
      <c r="K38" s="393" t="str">
        <f>IF(ISNA(VLOOKUP($B38,Stammdaten!$A$10:$S$99,K$17,0)),"",IF((VLOOKUP($B38,Stammdaten!$A$10:$S$99,K$17,0)=0),"",(VLOOKUP($B38,Stammdaten!$A$10:$S$99,K$17,0))))</f>
        <v/>
      </c>
      <c r="L38" s="394" t="str">
        <f t="shared" si="7"/>
        <v/>
      </c>
      <c r="M38" s="395" t="str">
        <f>IF(ISNA(VLOOKUP($B38,Stammdaten!$A$10:$S$99,M$17,0)),"",IF((VLOOKUP($B38,Stammdaten!$A$10:$S$99,M$17,0)=0),"",(VLOOKUP($B38,Stammdaten!$A$10:$S$99,M$17,0))))</f>
        <v/>
      </c>
      <c r="N38" s="395" t="str">
        <f>IF(ISNA(VLOOKUP($B38,Stammdaten!$A$10:$S$99,M$17,0)),"",VLOOKUP($B38,Stammdaten!$A$10:$S$99,N$17,0)*Fläche)</f>
        <v/>
      </c>
      <c r="O38" s="395" t="str">
        <f>IF(ISNA(VLOOKUP($B38,Stammdaten!$A$10:$S$99,M$17,0)),"",VLOOKUP($B38,Stammdaten!$A$10:$S$99,O$17,0)/1000*$A$3*Fläche)</f>
        <v/>
      </c>
      <c r="P38" s="395" t="str">
        <f t="shared" si="11"/>
        <v/>
      </c>
      <c r="Q38" s="396" t="str">
        <f>IF(ISNA(VLOOKUP($B38,Stammdaten!$A$10:$S$99,Q$17,0)),"",IF((VLOOKUP($B38,Stammdaten!$A$10:$S$99,Q$17,0)=0),"",(VLOOKUP($B38,Stammdaten!$A$10:$S$99,Q$17,0))))</f>
        <v/>
      </c>
      <c r="R38" s="395" t="str">
        <f>IF(ISNA(VLOOKUP($B38,Stammdaten!$A$10:$S$99,R$17,0)),"",IF((VLOOKUP($B38,Stammdaten!$A$10:$S$99,R$17,0)=0),"",(VLOOKUP($B38,Stammdaten!$A$10:$S$99,R$17,0))))</f>
        <v/>
      </c>
      <c r="S38" s="397" t="str">
        <f>IF(ISNA(VLOOKUP($B38,Stammdaten!$A$10:$S$99,S$17,0)),"",IF((VLOOKUP($B38,Stammdaten!$A$10:$S$99,S$17,0)=0),"",(VLOOKUP($B38,Stammdaten!$A$10:$S$99,S$17,0))))</f>
        <v/>
      </c>
      <c r="T38" s="398" t="str">
        <f>IF(ISNA(VLOOKUP($B38,Stammdaten!$A$10:$S$99,T$17,0)),"",IF((VLOOKUP($B38,Stammdaten!$A$10:$S$99,T$17,0)=0),"",(VLOOKUP($B38,Stammdaten!$A$10:$S$99,T$17,0))))</f>
        <v/>
      </c>
      <c r="U38" s="398" t="str">
        <f>IF(ISNA(VLOOKUP($B38,Stammdaten!$A$10:$S$99,U$17,0)),"",IF((VLOOKUP($B38,Stammdaten!$A$10:$S$99,U$17,0)=0),"",(VLOOKUP($B38,Stammdaten!$A$10:$S$99,U$17,0))))</f>
        <v/>
      </c>
      <c r="V38" s="398" t="str">
        <f>IF(ISNA(VLOOKUP($B38,Stammdaten!$A$10:$S$99,V$17,0)),"",IF((VLOOKUP($B38,Stammdaten!$A$10:$S$99,V$17,0)=0),"",(VLOOKUP($B38,Stammdaten!$A$10:$S$99,V$17,0))))</f>
        <v/>
      </c>
      <c r="W38" s="399" t="str">
        <f>IF(ISNA(VLOOKUP($B38,Stammdaten!$A$10:$S$99,W$17,0)),"",IF((VLOOKUP($B38,Stammdaten!$A$10:$S$99,W$17,0)=0),"",(VLOOKUP($B38,Stammdaten!$A$10:$S$99,W$17,0))))</f>
        <v/>
      </c>
      <c r="X38" s="400" t="str">
        <f t="shared" si="0"/>
        <v/>
      </c>
      <c r="Y38" s="401" t="str">
        <f>IF(OR(B38=30,B38=31),Ablauf!$D$5,"")</f>
        <v/>
      </c>
      <c r="Z38" s="401" t="str">
        <f>IF(OR(B38=30,B38=31),Ablauf!V38,"")</f>
        <v/>
      </c>
      <c r="AA38" s="401" t="str">
        <f>IF(OR(B38=61,B38=62),Ablauf!$D$7,"")</f>
        <v/>
      </c>
      <c r="AB38" s="401" t="str">
        <f>IF(OR(B38=61,B38=62),Ablauf!V38,"")</f>
        <v/>
      </c>
      <c r="AC38" s="402" t="str">
        <f t="shared" si="1"/>
        <v/>
      </c>
      <c r="AD38" s="403" t="str">
        <f t="shared" si="8"/>
        <v/>
      </c>
      <c r="AF38" s="501">
        <v>43</v>
      </c>
      <c r="AG38" s="405" t="str">
        <f>IF(ISNA(VLOOKUP(AF38,Stammdaten!$A$10:$S$99,$C$17,0)),"",IF((VLOOKUP(AF38,Stammdaten!$A$10:$S$99,$C$17,0)=0),"",(VLOOKUP(AF38,Stammdaten!$A$10:$S$99,$C$17,0))))</f>
        <v>K1800 235 g/m²</v>
      </c>
      <c r="AH38" s="409"/>
      <c r="AI38" s="508"/>
      <c r="AJ38" s="506">
        <v>90</v>
      </c>
      <c r="AK38" s="509"/>
      <c r="AL38" s="410"/>
      <c r="AM38" s="406">
        <f t="shared" si="9"/>
        <v>4</v>
      </c>
      <c r="AN38" s="406">
        <f t="shared" si="2"/>
        <v>940</v>
      </c>
    </row>
    <row r="39" spans="1:40" ht="18" customHeight="1">
      <c r="A39" s="495">
        <v>20</v>
      </c>
      <c r="B39" s="497"/>
      <c r="C39" s="390" t="str">
        <f>IF(ISNA(VLOOKUP(B39,Stammdaten!$A$10:$S$99,$C$17,0)),"",IF((VLOOKUP(B39,Stammdaten!$A$10:$S$99,$C$17,0)=0),"",(VLOOKUP(B39,Stammdaten!$A$10:$S$99,$C$17,0))))</f>
        <v/>
      </c>
      <c r="D39" s="306"/>
      <c r="E39" s="498" t="str">
        <f t="shared" si="3"/>
        <v/>
      </c>
      <c r="F39" s="499" t="str">
        <f t="shared" si="4"/>
        <v/>
      </c>
      <c r="G39" s="499" t="str">
        <f t="shared" si="5"/>
        <v/>
      </c>
      <c r="H39" s="499" t="str">
        <f t="shared" si="6"/>
        <v/>
      </c>
      <c r="I39" s="391" t="str">
        <f>IF(ISNA(VLOOKUP($B39,Stammdaten!$A$10:$S$99,I$17,0)),"",IF((VLOOKUP($B39,Stammdaten!$A$10:$S$99,I$17,0)=0),"",(VLOOKUP($B39,Stammdaten!$A$10:$S$99,I$17,0))))</f>
        <v/>
      </c>
      <c r="J39" s="392" t="str">
        <f>IF(ISNA(VLOOKUP($B39,Stammdaten!$A$10:$S$99,J$17,0)),"",IF((VLOOKUP($B39,Stammdaten!$A$10:$S$99,J$17,0)=0),"",(VLOOKUP($B39,Stammdaten!$A$10:$S$99,J$17,0))))</f>
        <v/>
      </c>
      <c r="K39" s="393" t="str">
        <f>IF(ISNA(VLOOKUP($B39,Stammdaten!$A$10:$S$99,K$17,0)),"",IF((VLOOKUP($B39,Stammdaten!$A$10:$S$99,K$17,0)=0),"",(VLOOKUP($B39,Stammdaten!$A$10:$S$99,K$17,0))))</f>
        <v/>
      </c>
      <c r="L39" s="394" t="str">
        <f t="shared" si="7"/>
        <v/>
      </c>
      <c r="M39" s="395" t="str">
        <f>IF(ISNA(VLOOKUP($B39,Stammdaten!$A$10:$S$99,M$17,0)),"",IF((VLOOKUP($B39,Stammdaten!$A$10:$S$99,M$17,0)=0),"",(VLOOKUP($B39,Stammdaten!$A$10:$S$99,M$17,0))))</f>
        <v/>
      </c>
      <c r="N39" s="395" t="str">
        <f>IF(ISNA(VLOOKUP($B39,Stammdaten!$A$10:$S$99,M$17,0)),"",VLOOKUP($B39,Stammdaten!$A$10:$S$99,N$17,0)*Fläche)</f>
        <v/>
      </c>
      <c r="O39" s="395" t="str">
        <f>IF(ISNA(VLOOKUP($B39,Stammdaten!$A$10:$S$99,M$17,0)),"",VLOOKUP($B39,Stammdaten!$A$10:$S$99,O$17,0)/1000*$A$3*Fläche)</f>
        <v/>
      </c>
      <c r="P39" s="395" t="str">
        <f t="shared" si="11"/>
        <v/>
      </c>
      <c r="Q39" s="396" t="str">
        <f>IF(ISNA(VLOOKUP($B39,Stammdaten!$A$10:$S$99,Q$17,0)),"",IF((VLOOKUP($B39,Stammdaten!$A$10:$S$99,Q$17,0)=0),"",(VLOOKUP($B39,Stammdaten!$A$10:$S$99,Q$17,0))))</f>
        <v/>
      </c>
      <c r="R39" s="395" t="str">
        <f>IF(ISNA(VLOOKUP($B39,Stammdaten!$A$10:$S$99,R$17,0)),"",IF((VLOOKUP($B39,Stammdaten!$A$10:$S$99,R$17,0)=0),"",(VLOOKUP($B39,Stammdaten!$A$10:$S$99,R$17,0))))</f>
        <v/>
      </c>
      <c r="S39" s="397" t="str">
        <f>IF(ISNA(VLOOKUP($B39,Stammdaten!$A$10:$S$99,S$17,0)),"",IF((VLOOKUP($B39,Stammdaten!$A$10:$S$99,S$17,0)=0),"",(VLOOKUP($B39,Stammdaten!$A$10:$S$99,S$17,0))))</f>
        <v/>
      </c>
      <c r="T39" s="398" t="str">
        <f>IF(ISNA(VLOOKUP($B39,Stammdaten!$A$10:$S$99,T$17,0)),"",IF((VLOOKUP($B39,Stammdaten!$A$10:$S$99,T$17,0)=0),"",(VLOOKUP($B39,Stammdaten!$A$10:$S$99,T$17,0))))</f>
        <v/>
      </c>
      <c r="U39" s="398" t="str">
        <f>IF(ISNA(VLOOKUP($B39,Stammdaten!$A$10:$S$99,U$17,0)),"",IF((VLOOKUP($B39,Stammdaten!$A$10:$S$99,U$17,0)=0),"",(VLOOKUP($B39,Stammdaten!$A$10:$S$99,U$17,0))))</f>
        <v/>
      </c>
      <c r="V39" s="398" t="str">
        <f>IF(ISNA(VLOOKUP($B39,Stammdaten!$A$10:$S$99,V$17,0)),"",IF((VLOOKUP($B39,Stammdaten!$A$10:$S$99,V$17,0)=0),"",(VLOOKUP($B39,Stammdaten!$A$10:$S$99,V$17,0))))</f>
        <v/>
      </c>
      <c r="W39" s="399" t="str">
        <f>IF(ISNA(VLOOKUP($B39,Stammdaten!$A$10:$S$99,W$17,0)),"",IF((VLOOKUP($B39,Stammdaten!$A$10:$S$99,W$17,0)=0),"",(VLOOKUP($B39,Stammdaten!$A$10:$S$99,W$17,0))))</f>
        <v/>
      </c>
      <c r="X39" s="400" t="str">
        <f t="shared" si="0"/>
        <v/>
      </c>
      <c r="Y39" s="401" t="str">
        <f>IF(OR(B39=30,B39=31),Ablauf!$D$5,"")</f>
        <v/>
      </c>
      <c r="Z39" s="401" t="str">
        <f>IF(OR(B39=30,B39=31),Ablauf!V39,"")</f>
        <v/>
      </c>
      <c r="AA39" s="401" t="str">
        <f>IF(OR(B39=61,B39=62),Ablauf!$D$7,"")</f>
        <v/>
      </c>
      <c r="AB39" s="401" t="str">
        <f>IF(OR(B39=61,B39=62),Ablauf!V39,"")</f>
        <v/>
      </c>
      <c r="AC39" s="402" t="str">
        <f t="shared" si="1"/>
        <v/>
      </c>
      <c r="AD39" s="403" t="str">
        <f t="shared" si="8"/>
        <v/>
      </c>
      <c r="AF39" s="501">
        <v>44</v>
      </c>
      <c r="AG39" s="405" t="str">
        <f>IF(ISNA(VLOOKUP(AF39,Stammdaten!$A$10:$S$99,$C$17,0)),"",IF((VLOOKUP(AF39,Stammdaten!$A$10:$S$99,$C$17,0)=0),"",(VLOOKUP(AF39,Stammdaten!$A$10:$S$99,$C$17,0))))</f>
        <v>Glasseidengewebe 390 g/m²</v>
      </c>
      <c r="AH39" s="409"/>
      <c r="AI39" s="508"/>
      <c r="AJ39" s="510">
        <v>91</v>
      </c>
      <c r="AK39" s="509"/>
      <c r="AL39" s="410"/>
      <c r="AM39" s="406">
        <f t="shared" si="9"/>
        <v>0</v>
      </c>
      <c r="AN39" s="406">
        <f t="shared" si="2"/>
        <v>0</v>
      </c>
    </row>
    <row r="40" spans="1:40" ht="18" customHeight="1">
      <c r="A40" s="495">
        <v>21</v>
      </c>
      <c r="B40" s="497"/>
      <c r="C40" s="390" t="str">
        <f>IF(ISNA(VLOOKUP(B40,Stammdaten!$A$10:$S$99,$C$17,0)),"",IF((VLOOKUP(B40,Stammdaten!$A$10:$S$99,$C$17,0)=0),"",(VLOOKUP(B40,Stammdaten!$A$10:$S$99,$C$17,0))))</f>
        <v/>
      </c>
      <c r="D40" s="306"/>
      <c r="E40" s="498"/>
      <c r="F40" s="499"/>
      <c r="G40" s="499" t="str">
        <f t="shared" si="5"/>
        <v/>
      </c>
      <c r="H40" s="499" t="str">
        <f t="shared" si="6"/>
        <v/>
      </c>
      <c r="I40" s="391" t="str">
        <f>IF(ISNA(VLOOKUP($B40,Stammdaten!$A$10:$S$99,I$17,0)),"",IF((VLOOKUP($B40,Stammdaten!$A$10:$S$99,I$17,0)=0),"",(VLOOKUP($B40,Stammdaten!$A$10:$S$99,I$17,0))))</f>
        <v/>
      </c>
      <c r="J40" s="392" t="str">
        <f>IF(ISNA(VLOOKUP($B40,Stammdaten!$A$10:$S$99,J$17,0)),"",IF((VLOOKUP($B40,Stammdaten!$A$10:$S$99,J$17,0)=0),"",(VLOOKUP($B40,Stammdaten!$A$10:$S$99,J$17,0))))</f>
        <v/>
      </c>
      <c r="K40" s="393" t="str">
        <f>IF(ISNA(VLOOKUP($B40,Stammdaten!$A$10:$S$99,K$17,0)),"",IF((VLOOKUP($B40,Stammdaten!$A$10:$S$99,K$17,0)=0),"",(VLOOKUP($B40,Stammdaten!$A$10:$S$99,K$17,0))))</f>
        <v/>
      </c>
      <c r="L40" s="394" t="str">
        <f t="shared" si="7"/>
        <v/>
      </c>
      <c r="M40" s="395" t="str">
        <f>IF(ISNA(VLOOKUP($B40,Stammdaten!$A$10:$S$99,M$17,0)),"",IF((VLOOKUP($B40,Stammdaten!$A$10:$S$99,M$17,0)=0),"",(VLOOKUP($B40,Stammdaten!$A$10:$S$99,M$17,0))))</f>
        <v/>
      </c>
      <c r="N40" s="395" t="str">
        <f>IF(ISNA(VLOOKUP($B40,Stammdaten!$A$10:$S$99,M$17,0)),"",VLOOKUP($B40,Stammdaten!$A$10:$S$99,N$17,0)*Fläche)</f>
        <v/>
      </c>
      <c r="O40" s="395" t="str">
        <f>IF(ISNA(VLOOKUP($B40,Stammdaten!$A$10:$S$99,M$17,0)),"",VLOOKUP($B40,Stammdaten!$A$10:$S$99,O$17,0)/1000*$A$3*Fläche)</f>
        <v/>
      </c>
      <c r="P40" s="395" t="str">
        <f t="shared" si="11"/>
        <v/>
      </c>
      <c r="Q40" s="396" t="str">
        <f>IF(ISNA(VLOOKUP($B40,Stammdaten!$A$10:$S$99,Q$17,0)),"",IF((VLOOKUP($B40,Stammdaten!$A$10:$S$99,Q$17,0)=0),"",(VLOOKUP($B40,Stammdaten!$A$10:$S$99,Q$17,0))))</f>
        <v/>
      </c>
      <c r="R40" s="395" t="str">
        <f>IF(ISNA(VLOOKUP($B40,Stammdaten!$A$10:$S$99,R$17,0)),"",IF((VLOOKUP($B40,Stammdaten!$A$10:$S$99,R$17,0)=0),"",(VLOOKUP($B40,Stammdaten!$A$10:$S$99,R$17,0))))</f>
        <v/>
      </c>
      <c r="S40" s="397" t="str">
        <f>IF(ISNA(VLOOKUP($B40,Stammdaten!$A$10:$S$99,S$17,0)),"",IF((VLOOKUP($B40,Stammdaten!$A$10:$S$99,S$17,0)=0),"",(VLOOKUP($B40,Stammdaten!$A$10:$S$99,S$17,0))))</f>
        <v/>
      </c>
      <c r="T40" s="398" t="str">
        <f>IF(ISNA(VLOOKUP($B40,Stammdaten!$A$10:$S$99,T$17,0)),"",IF((VLOOKUP($B40,Stammdaten!$A$10:$S$99,T$17,0)=0),"",(VLOOKUP($B40,Stammdaten!$A$10:$S$99,T$17,0))))</f>
        <v/>
      </c>
      <c r="U40" s="398" t="str">
        <f>IF(ISNA(VLOOKUP($B40,Stammdaten!$A$10:$S$99,U$17,0)),"",IF((VLOOKUP($B40,Stammdaten!$A$10:$S$99,U$17,0)=0),"",(VLOOKUP($B40,Stammdaten!$A$10:$S$99,U$17,0))))</f>
        <v/>
      </c>
      <c r="V40" s="398" t="str">
        <f>IF(ISNA(VLOOKUP($B40,Stammdaten!$A$10:$S$99,V$17,0)),"",IF((VLOOKUP($B40,Stammdaten!$A$10:$S$99,V$17,0)=0),"",(VLOOKUP($B40,Stammdaten!$A$10:$S$99,V$17,0))))</f>
        <v/>
      </c>
      <c r="W40" s="399" t="str">
        <f>IF(ISNA(VLOOKUP($B40,Stammdaten!$A$10:$S$99,W$17,0)),"",IF((VLOOKUP($B40,Stammdaten!$A$10:$S$99,W$17,0)=0),"",(VLOOKUP($B40,Stammdaten!$A$10:$S$99,W$17,0))))</f>
        <v/>
      </c>
      <c r="X40" s="400" t="str">
        <f t="shared" si="0"/>
        <v/>
      </c>
      <c r="Y40" s="401" t="str">
        <f>IF(OR(B40=30,B40=31),Ablauf!$D$5,"")</f>
        <v/>
      </c>
      <c r="Z40" s="401" t="str">
        <f>IF(OR(B40=30,B40=31),Ablauf!V40,"")</f>
        <v/>
      </c>
      <c r="AA40" s="401" t="str">
        <f>IF(OR(B40=61,B40=62),Ablauf!$D$7,"")</f>
        <v/>
      </c>
      <c r="AB40" s="401" t="str">
        <f>IF(OR(B40=61,B40=62),Ablauf!V40,"")</f>
        <v/>
      </c>
      <c r="AC40" s="402" t="str">
        <f t="shared" si="1"/>
        <v/>
      </c>
      <c r="AD40" s="403">
        <f t="shared" si="8"/>
        <v>0</v>
      </c>
      <c r="AF40" s="501">
        <v>45</v>
      </c>
      <c r="AG40" s="405" t="str">
        <f>IF(ISNA(VLOOKUP(AF40,Stammdaten!$A$10:$S$99,$C$17,0)),"",IF((VLOOKUP(AF40,Stammdaten!$A$10:$S$99,$C$17,0)=0),"",(VLOOKUP(AF40,Stammdaten!$A$10:$S$99,$C$17,0))))</f>
        <v>Rovinggewebe 580 g/m²</v>
      </c>
      <c r="AH40" s="409"/>
      <c r="AI40" s="508"/>
      <c r="AJ40" s="510"/>
      <c r="AK40" s="509"/>
      <c r="AL40" s="410"/>
      <c r="AM40" s="406">
        <f t="shared" si="9"/>
        <v>0</v>
      </c>
      <c r="AN40" s="406">
        <f t="shared" si="2"/>
        <v>0</v>
      </c>
    </row>
    <row r="41" spans="1:40" ht="18" customHeight="1">
      <c r="A41" s="495">
        <v>22</v>
      </c>
      <c r="B41" s="497"/>
      <c r="C41" s="390" t="str">
        <f>IF(ISNA(VLOOKUP(B41,Stammdaten!$A$10:$S$99,$C$17,0)),"",IF((VLOOKUP(B41,Stammdaten!$A$10:$S$99,$C$17,0)=0),"",(VLOOKUP(B41,Stammdaten!$A$10:$S$99,$C$17,0))))</f>
        <v/>
      </c>
      <c r="D41" s="306"/>
      <c r="E41" s="498" t="str">
        <f t="shared" si="3"/>
        <v/>
      </c>
      <c r="F41" s="499" t="str">
        <f t="shared" si="4"/>
        <v/>
      </c>
      <c r="G41" s="499" t="str">
        <f t="shared" si="5"/>
        <v/>
      </c>
      <c r="H41" s="499" t="str">
        <f t="shared" si="6"/>
        <v/>
      </c>
      <c r="I41" s="391" t="str">
        <f>IF(ISNA(VLOOKUP($B41,Stammdaten!$A$10:$S$99,I$17,0)),"",IF((VLOOKUP($B41,Stammdaten!$A$10:$S$99,I$17,0)=0),"",(VLOOKUP($B41,Stammdaten!$A$10:$S$99,I$17,0))))</f>
        <v/>
      </c>
      <c r="J41" s="392" t="str">
        <f>IF(ISNA(VLOOKUP($B41,Stammdaten!$A$10:$S$99,J$17,0)),"",IF((VLOOKUP($B41,Stammdaten!$A$10:$S$99,J$17,0)=0),"",(VLOOKUP($B41,Stammdaten!$A$10:$S$99,J$17,0))))</f>
        <v/>
      </c>
      <c r="K41" s="393" t="str">
        <f>IF(ISNA(VLOOKUP($B41,Stammdaten!$A$10:$S$99,K$17,0)),"",IF((VLOOKUP($B41,Stammdaten!$A$10:$S$99,K$17,0)=0),"",(VLOOKUP($B41,Stammdaten!$A$10:$S$99,K$17,0))))</f>
        <v/>
      </c>
      <c r="L41" s="394" t="str">
        <f t="shared" si="7"/>
        <v/>
      </c>
      <c r="M41" s="395" t="str">
        <f>IF(ISNA(VLOOKUP($B41,Stammdaten!$A$10:$S$99,M$17,0)),"",IF((VLOOKUP($B41,Stammdaten!$A$10:$S$99,M$17,0)=0),"",(VLOOKUP($B41,Stammdaten!$A$10:$S$99,M$17,0))))</f>
        <v/>
      </c>
      <c r="N41" s="395" t="str">
        <f>IF(ISNA(VLOOKUP($B41,Stammdaten!$A$10:$S$99,M$17,0)),"",VLOOKUP($B41,Stammdaten!$A$10:$S$99,N$17,0)*Fläche)</f>
        <v/>
      </c>
      <c r="O41" s="395" t="str">
        <f>IF(ISNA(VLOOKUP($B41,Stammdaten!$A$10:$S$99,M$17,0)),"",VLOOKUP($B41,Stammdaten!$A$10:$S$99,O$17,0)/1000*$A$3*Fläche)</f>
        <v/>
      </c>
      <c r="P41" s="395" t="str">
        <f t="shared" si="11"/>
        <v/>
      </c>
      <c r="Q41" s="396" t="str">
        <f>IF(ISNA(VLOOKUP($B41,Stammdaten!$A$10:$S$99,Q$17,0)),"",IF((VLOOKUP($B41,Stammdaten!$A$10:$S$99,Q$17,0)=0),"",(VLOOKUP($B41,Stammdaten!$A$10:$S$99,Q$17,0))))</f>
        <v/>
      </c>
      <c r="R41" s="395" t="str">
        <f>IF(ISNA(VLOOKUP($B41,Stammdaten!$A$10:$S$99,R$17,0)),"",IF((VLOOKUP($B41,Stammdaten!$A$10:$S$99,R$17,0)=0),"",(VLOOKUP($B41,Stammdaten!$A$10:$S$99,R$17,0))))</f>
        <v/>
      </c>
      <c r="S41" s="397" t="str">
        <f>IF(ISNA(VLOOKUP($B41,Stammdaten!$A$10:$S$99,S$17,0)),"",IF((VLOOKUP($B41,Stammdaten!$A$10:$S$99,S$17,0)=0),"",(VLOOKUP($B41,Stammdaten!$A$10:$S$99,S$17,0))))</f>
        <v/>
      </c>
      <c r="T41" s="398" t="str">
        <f>IF(ISNA(VLOOKUP($B41,Stammdaten!$A$10:$S$99,T$17,0)),"",IF((VLOOKUP($B41,Stammdaten!$A$10:$S$99,T$17,0)=0),"",(VLOOKUP($B41,Stammdaten!$A$10:$S$99,T$17,0))))</f>
        <v/>
      </c>
      <c r="U41" s="398" t="str">
        <f>IF(ISNA(VLOOKUP($B41,Stammdaten!$A$10:$S$99,U$17,0)),"",IF((VLOOKUP($B41,Stammdaten!$A$10:$S$99,U$17,0)=0),"",(VLOOKUP($B41,Stammdaten!$A$10:$S$99,U$17,0))))</f>
        <v/>
      </c>
      <c r="V41" s="398" t="str">
        <f>IF(ISNA(VLOOKUP($B41,Stammdaten!$A$10:$S$99,V$17,0)),"",IF((VLOOKUP($B41,Stammdaten!$A$10:$S$99,V$17,0)=0),"",(VLOOKUP($B41,Stammdaten!$A$10:$S$99,V$17,0))))</f>
        <v/>
      </c>
      <c r="W41" s="399" t="str">
        <f>IF(ISNA(VLOOKUP($B41,Stammdaten!$A$10:$S$99,W$17,0)),"",IF((VLOOKUP($B41,Stammdaten!$A$10:$S$99,W$17,0)=0),"",(VLOOKUP($B41,Stammdaten!$A$10:$S$99,W$17,0))))</f>
        <v/>
      </c>
      <c r="X41" s="400" t="str">
        <f t="shared" si="0"/>
        <v/>
      </c>
      <c r="Y41" s="401" t="str">
        <f>IF(OR(B41=30,B41=31),Ablauf!$D$5,"")</f>
        <v/>
      </c>
      <c r="Z41" s="401" t="str">
        <f>IF(OR(B41=30,B41=31),Ablauf!V41,"")</f>
        <v/>
      </c>
      <c r="AA41" s="401" t="str">
        <f>IF(OR(B41=61,B41=62),Ablauf!$D$7,"")</f>
        <v/>
      </c>
      <c r="AB41" s="401" t="str">
        <f>IF(OR(B41=61,B41=62),Ablauf!V41,"")</f>
        <v/>
      </c>
      <c r="AC41" s="402" t="str">
        <f t="shared" si="1"/>
        <v/>
      </c>
      <c r="AD41" s="403" t="str">
        <f t="shared" si="8"/>
        <v/>
      </c>
      <c r="AF41" s="501">
        <v>46</v>
      </c>
      <c r="AG41" s="405" t="str">
        <f>IF(ISNA(VLOOKUP(AF41,Stammdaten!$A$10:$S$99,$C$17,0)),"",IF((VLOOKUP(AF41,Stammdaten!$A$10:$S$99,$C$17,0)=0),"",(VLOOKUP(AF41,Stammdaten!$A$10:$S$99,$C$17,0))))</f>
        <v/>
      </c>
      <c r="AH41" s="409"/>
      <c r="AI41" s="508"/>
      <c r="AJ41" s="510"/>
      <c r="AK41" s="509"/>
      <c r="AL41" s="410"/>
      <c r="AM41" s="406">
        <f t="shared" si="9"/>
        <v>0</v>
      </c>
      <c r="AN41" s="406">
        <f t="shared" si="2"/>
        <v>0</v>
      </c>
    </row>
    <row r="42" spans="1:40" ht="18" customHeight="1">
      <c r="A42" s="495">
        <v>23</v>
      </c>
      <c r="B42" s="497"/>
      <c r="C42" s="390" t="str">
        <f>IF(ISNA(VLOOKUP(B42,Stammdaten!$A$10:$S$99,$C$17,0)),"",IF((VLOOKUP(B42,Stammdaten!$A$10:$S$99,$C$17,0)=0),"",(VLOOKUP(B42,Stammdaten!$A$10:$S$99,$C$17,0))))</f>
        <v/>
      </c>
      <c r="D42" s="306"/>
      <c r="E42" s="498" t="str">
        <f t="shared" si="3"/>
        <v/>
      </c>
      <c r="F42" s="499" t="str">
        <f t="shared" si="4"/>
        <v/>
      </c>
      <c r="G42" s="499" t="str">
        <f t="shared" si="5"/>
        <v/>
      </c>
      <c r="H42" s="499" t="str">
        <f t="shared" si="6"/>
        <v/>
      </c>
      <c r="I42" s="391" t="str">
        <f>IF(ISNA(VLOOKUP($B42,Stammdaten!$A$10:$S$99,I$17,0)),"",IF((VLOOKUP($B42,Stammdaten!$A$10:$S$99,I$17,0)=0),"",(VLOOKUP($B42,Stammdaten!$A$10:$S$99,I$17,0))))</f>
        <v/>
      </c>
      <c r="J42" s="392" t="str">
        <f>IF(ISNA(VLOOKUP($B42,Stammdaten!$A$10:$S$99,J$17,0)),"",IF((VLOOKUP($B42,Stammdaten!$A$10:$S$99,J$17,0)=0),"",(VLOOKUP($B42,Stammdaten!$A$10:$S$99,J$17,0))))</f>
        <v/>
      </c>
      <c r="K42" s="393" t="str">
        <f>IF(ISNA(VLOOKUP($B42,Stammdaten!$A$10:$S$99,K$17,0)),"",IF((VLOOKUP($B42,Stammdaten!$A$10:$S$99,K$17,0)=0),"",(VLOOKUP($B42,Stammdaten!$A$10:$S$99,K$17,0))))</f>
        <v/>
      </c>
      <c r="L42" s="394" t="str">
        <f t="shared" si="7"/>
        <v/>
      </c>
      <c r="M42" s="395" t="str">
        <f>IF(ISNA(VLOOKUP($B42,Stammdaten!$A$10:$S$99,M$17,0)),"",IF((VLOOKUP($B42,Stammdaten!$A$10:$S$99,M$17,0)=0),"",(VLOOKUP($B42,Stammdaten!$A$10:$S$99,M$17,0))))</f>
        <v/>
      </c>
      <c r="N42" s="395" t="str">
        <f>IF(ISNA(VLOOKUP($B42,Stammdaten!$A$10:$S$99,M$17,0)),"",VLOOKUP($B42,Stammdaten!$A$10:$S$99,N$17,0)*Fläche)</f>
        <v/>
      </c>
      <c r="O42" s="395" t="str">
        <f>IF(ISNA(VLOOKUP($B42,Stammdaten!$A$10:$S$99,M$17,0)),"",VLOOKUP($B42,Stammdaten!$A$10:$S$99,O$17,0)/1000*$A$3*Fläche)</f>
        <v/>
      </c>
      <c r="P42" s="395" t="str">
        <f t="shared" si="11"/>
        <v/>
      </c>
      <c r="Q42" s="396" t="str">
        <f>IF(ISNA(VLOOKUP($B42,Stammdaten!$A$10:$S$99,Q$17,0)),"",IF((VLOOKUP($B42,Stammdaten!$A$10:$S$99,Q$17,0)=0),"",(VLOOKUP($B42,Stammdaten!$A$10:$S$99,Q$17,0))))</f>
        <v/>
      </c>
      <c r="R42" s="395" t="str">
        <f>IF(ISNA(VLOOKUP($B42,Stammdaten!$A$10:$S$99,R$17,0)),"",IF((VLOOKUP($B42,Stammdaten!$A$10:$S$99,R$17,0)=0),"",(VLOOKUP($B42,Stammdaten!$A$10:$S$99,R$17,0))))</f>
        <v/>
      </c>
      <c r="S42" s="397" t="str">
        <f>IF(ISNA(VLOOKUP($B42,Stammdaten!$A$10:$S$99,S$17,0)),"",IF((VLOOKUP($B42,Stammdaten!$A$10:$S$99,S$17,0)=0),"",(VLOOKUP($B42,Stammdaten!$A$10:$S$99,S$17,0))))</f>
        <v/>
      </c>
      <c r="T42" s="398" t="str">
        <f>IF(ISNA(VLOOKUP($B42,Stammdaten!$A$10:$S$99,T$17,0)),"",IF((VLOOKUP($B42,Stammdaten!$A$10:$S$99,T$17,0)=0),"",(VLOOKUP($B42,Stammdaten!$A$10:$S$99,T$17,0))))</f>
        <v/>
      </c>
      <c r="U42" s="398" t="str">
        <f>IF(ISNA(VLOOKUP($B42,Stammdaten!$A$10:$S$99,U$17,0)),"",IF((VLOOKUP($B42,Stammdaten!$A$10:$S$99,U$17,0)=0),"",(VLOOKUP($B42,Stammdaten!$A$10:$S$99,U$17,0))))</f>
        <v/>
      </c>
      <c r="V42" s="398" t="str">
        <f>IF(ISNA(VLOOKUP($B42,Stammdaten!$A$10:$S$99,V$17,0)),"",IF((VLOOKUP($B42,Stammdaten!$A$10:$S$99,V$17,0)=0),"",(VLOOKUP($B42,Stammdaten!$A$10:$S$99,V$17,0))))</f>
        <v/>
      </c>
      <c r="W42" s="399" t="str">
        <f>IF(ISNA(VLOOKUP($B42,Stammdaten!$A$10:$S$99,W$17,0)),"",IF((VLOOKUP($B42,Stammdaten!$A$10:$S$99,W$17,0)=0),"",(VLOOKUP($B42,Stammdaten!$A$10:$S$99,W$17,0))))</f>
        <v/>
      </c>
      <c r="X42" s="400" t="str">
        <f t="shared" si="0"/>
        <v/>
      </c>
      <c r="Y42" s="401" t="str">
        <f>IF(OR(B42=30,B42=31),Ablauf!$D$5,"")</f>
        <v/>
      </c>
      <c r="Z42" s="401" t="str">
        <f>IF(OR(B42=30,B42=31),Ablauf!V42,"")</f>
        <v/>
      </c>
      <c r="AA42" s="401" t="str">
        <f>IF(OR(B42=61,B42=62),Ablauf!$D$7,"")</f>
        <v/>
      </c>
      <c r="AB42" s="401" t="str">
        <f>IF(OR(B42=61,B42=62),Ablauf!V42,"")</f>
        <v/>
      </c>
      <c r="AC42" s="402" t="str">
        <f t="shared" si="1"/>
        <v/>
      </c>
      <c r="AD42" s="403" t="str">
        <f t="shared" si="8"/>
        <v/>
      </c>
      <c r="AF42" s="503"/>
      <c r="AG42" s="329"/>
      <c r="AH42" s="409"/>
      <c r="AI42" s="508"/>
      <c r="AJ42" s="510"/>
      <c r="AK42" s="509"/>
      <c r="AL42" s="410"/>
      <c r="AM42" s="406">
        <f t="shared" si="9"/>
        <v>0</v>
      </c>
      <c r="AN42" s="406">
        <f t="shared" si="2"/>
        <v>0</v>
      </c>
    </row>
    <row r="43" spans="1:40" ht="18" customHeight="1">
      <c r="A43" s="495">
        <v>24</v>
      </c>
      <c r="B43" s="497"/>
      <c r="C43" s="390" t="str">
        <f>IF(ISNA(VLOOKUP(B43,Stammdaten!$A$10:$S$99,$C$17,0)),"",IF((VLOOKUP(B43,Stammdaten!$A$10:$S$99,$C$17,0)=0),"",(VLOOKUP(B43,Stammdaten!$A$10:$S$99,$C$17,0))))</f>
        <v/>
      </c>
      <c r="D43" s="306"/>
      <c r="E43" s="498" t="str">
        <f t="shared" si="3"/>
        <v/>
      </c>
      <c r="F43" s="499" t="str">
        <f t="shared" si="4"/>
        <v/>
      </c>
      <c r="G43" s="499" t="str">
        <f t="shared" si="5"/>
        <v/>
      </c>
      <c r="H43" s="499" t="str">
        <f t="shared" si="6"/>
        <v/>
      </c>
      <c r="I43" s="391" t="str">
        <f>IF(ISNA(VLOOKUP($B43,Stammdaten!$A$10:$S$99,I$17,0)),"",IF((VLOOKUP($B43,Stammdaten!$A$10:$S$99,I$17,0)=0),"",(VLOOKUP($B43,Stammdaten!$A$10:$S$99,I$17,0))))</f>
        <v/>
      </c>
      <c r="J43" s="392" t="str">
        <f>IF(ISNA(VLOOKUP($B43,Stammdaten!$A$10:$S$99,J$17,0)),"",IF((VLOOKUP($B43,Stammdaten!$A$10:$S$99,J$17,0)=0),"",(VLOOKUP($B43,Stammdaten!$A$10:$S$99,J$17,0))))</f>
        <v/>
      </c>
      <c r="K43" s="393" t="str">
        <f>IF(ISNA(VLOOKUP($B43,Stammdaten!$A$10:$S$99,K$17,0)),"",IF((VLOOKUP($B43,Stammdaten!$A$10:$S$99,K$17,0)=0),"",(VLOOKUP($B43,Stammdaten!$A$10:$S$99,K$17,0))))</f>
        <v/>
      </c>
      <c r="L43" s="394" t="str">
        <f t="shared" si="7"/>
        <v/>
      </c>
      <c r="M43" s="395" t="str">
        <f>IF(ISNA(VLOOKUP($B43,Stammdaten!$A$10:$S$99,M$17,0)),"",IF((VLOOKUP($B43,Stammdaten!$A$10:$S$99,M$17,0)=0),"",(VLOOKUP($B43,Stammdaten!$A$10:$S$99,M$17,0))))</f>
        <v/>
      </c>
      <c r="N43" s="395" t="str">
        <f>IF(ISNA(VLOOKUP($B43,Stammdaten!$A$10:$S$99,M$17,0)),"",VLOOKUP($B43,Stammdaten!$A$10:$S$99,N$17,0)*Fläche)</f>
        <v/>
      </c>
      <c r="O43" s="395" t="str">
        <f>IF(ISNA(VLOOKUP($B43,Stammdaten!$A$10:$S$99,M$17,0)),"",VLOOKUP($B43,Stammdaten!$A$10:$S$99,O$17,0)/1000*$A$3*Fläche)</f>
        <v/>
      </c>
      <c r="P43" s="395" t="str">
        <f t="shared" si="11"/>
        <v/>
      </c>
      <c r="Q43" s="396" t="str">
        <f>IF(ISNA(VLOOKUP($B43,Stammdaten!$A$10:$S$99,Q$17,0)),"",IF((VLOOKUP($B43,Stammdaten!$A$10:$S$99,Q$17,0)=0),"",(VLOOKUP($B43,Stammdaten!$A$10:$S$99,Q$17,0))))</f>
        <v/>
      </c>
      <c r="R43" s="395" t="str">
        <f>IF(ISNA(VLOOKUP($B43,Stammdaten!$A$10:$S$99,R$17,0)),"",IF((VLOOKUP($B43,Stammdaten!$A$10:$S$99,R$17,0)=0),"",(VLOOKUP($B43,Stammdaten!$A$10:$S$99,R$17,0))))</f>
        <v/>
      </c>
      <c r="S43" s="397" t="str">
        <f>IF(ISNA(VLOOKUP($B43,Stammdaten!$A$10:$S$99,S$17,0)),"",IF((VLOOKUP($B43,Stammdaten!$A$10:$S$99,S$17,0)=0),"",(VLOOKUP($B43,Stammdaten!$A$10:$S$99,S$17,0))))</f>
        <v/>
      </c>
      <c r="T43" s="398" t="str">
        <f>IF(ISNA(VLOOKUP($B43,Stammdaten!$A$10:$S$99,T$17,0)),"",IF((VLOOKUP($B43,Stammdaten!$A$10:$S$99,T$17,0)=0),"",(VLOOKUP($B43,Stammdaten!$A$10:$S$99,T$17,0))))</f>
        <v/>
      </c>
      <c r="U43" s="398" t="str">
        <f>IF(ISNA(VLOOKUP($B43,Stammdaten!$A$10:$S$99,U$17,0)),"",IF((VLOOKUP($B43,Stammdaten!$A$10:$S$99,U$17,0)=0),"",(VLOOKUP($B43,Stammdaten!$A$10:$S$99,U$17,0))))</f>
        <v/>
      </c>
      <c r="V43" s="398" t="str">
        <f>IF(ISNA(VLOOKUP($B43,Stammdaten!$A$10:$S$99,V$17,0)),"",IF((VLOOKUP($B43,Stammdaten!$A$10:$S$99,V$17,0)=0),"",(VLOOKUP($B43,Stammdaten!$A$10:$S$99,V$17,0))))</f>
        <v/>
      </c>
      <c r="W43" s="399" t="str">
        <f>IF(ISNA(VLOOKUP($B43,Stammdaten!$A$10:$S$99,W$17,0)),"",IF((VLOOKUP($B43,Stammdaten!$A$10:$S$99,W$17,0)=0),"",(VLOOKUP($B43,Stammdaten!$A$10:$S$99,W$17,0))))</f>
        <v/>
      </c>
      <c r="X43" s="400" t="str">
        <f t="shared" si="0"/>
        <v/>
      </c>
      <c r="Y43" s="401" t="str">
        <f>IF(OR(B43=30,B43=31),Ablauf!$D$5,"")</f>
        <v/>
      </c>
      <c r="Z43" s="401" t="str">
        <f>IF(OR(B43=30,B43=31),Ablauf!V43,"")</f>
        <v/>
      </c>
      <c r="AA43" s="401" t="str">
        <f>IF(OR(B43=61,B43=62),Ablauf!$D$7,"")</f>
        <v/>
      </c>
      <c r="AB43" s="401" t="str">
        <f>IF(OR(B43=61,B43=62),Ablauf!V43,"")</f>
        <v/>
      </c>
      <c r="AC43" s="402" t="str">
        <f t="shared" si="1"/>
        <v/>
      </c>
      <c r="AD43" s="403" t="str">
        <f t="shared" si="8"/>
        <v/>
      </c>
      <c r="AF43" s="501">
        <v>50</v>
      </c>
      <c r="AG43" s="405" t="str">
        <f>IF(ISNA(VLOOKUP(AF43,Stammdaten!$A$10:$S$99,$C$17,0)),"",IF((VLOOKUP(AF43,Stammdaten!$A$10:$S$99,$C$17,0)=0),"",(VLOOKUP(AF43,Stammdaten!$A$10:$S$99,$C$17,0))))</f>
        <v>Carbongewebe 240 g/m²</v>
      </c>
      <c r="AH43" s="409"/>
      <c r="AI43" s="511"/>
      <c r="AJ43" s="510"/>
      <c r="AK43" s="509"/>
      <c r="AL43" s="410"/>
      <c r="AM43" s="406">
        <f t="shared" si="9"/>
        <v>0</v>
      </c>
      <c r="AN43" s="406">
        <f t="shared" si="2"/>
        <v>0</v>
      </c>
    </row>
    <row r="44" spans="1:40" ht="18" customHeight="1">
      <c r="A44" s="495">
        <v>25</v>
      </c>
      <c r="B44" s="497"/>
      <c r="C44" s="390" t="str">
        <f>IF(ISNA(VLOOKUP(B44,Stammdaten!$A$10:$S$99,$C$17,0)),"",IF((VLOOKUP(B44,Stammdaten!$A$10:$S$99,$C$17,0)=0),"",(VLOOKUP(B44,Stammdaten!$A$10:$S$99,$C$17,0))))</f>
        <v/>
      </c>
      <c r="D44" s="306"/>
      <c r="E44" s="498" t="str">
        <f t="shared" si="3"/>
        <v/>
      </c>
      <c r="F44" s="499" t="str">
        <f t="shared" si="4"/>
        <v/>
      </c>
      <c r="G44" s="499" t="str">
        <f t="shared" si="5"/>
        <v/>
      </c>
      <c r="H44" s="499" t="str">
        <f t="shared" si="6"/>
        <v/>
      </c>
      <c r="I44" s="391" t="str">
        <f>IF(ISNA(VLOOKUP($B44,Stammdaten!$A$10:$S$99,I$17,0)),"",IF((VLOOKUP($B44,Stammdaten!$A$10:$S$99,I$17,0)=0),"",(VLOOKUP($B44,Stammdaten!$A$10:$S$99,I$17,0))))</f>
        <v/>
      </c>
      <c r="J44" s="392" t="str">
        <f>IF(ISNA(VLOOKUP($B44,Stammdaten!$A$10:$S$99,J$17,0)),"",IF((VLOOKUP($B44,Stammdaten!$A$10:$S$99,J$17,0)=0),"",(VLOOKUP($B44,Stammdaten!$A$10:$S$99,J$17,0))))</f>
        <v/>
      </c>
      <c r="K44" s="393" t="str">
        <f>IF(ISNA(VLOOKUP($B44,Stammdaten!$A$10:$S$99,K$17,0)),"",IF((VLOOKUP($B44,Stammdaten!$A$10:$S$99,K$17,0)=0),"",(VLOOKUP($B44,Stammdaten!$A$10:$S$99,K$17,0))))</f>
        <v/>
      </c>
      <c r="L44" s="394" t="str">
        <f t="shared" si="7"/>
        <v/>
      </c>
      <c r="M44" s="395" t="str">
        <f>IF(ISNA(VLOOKUP($B44,Stammdaten!$A$10:$S$99,M$17,0)),"",IF((VLOOKUP($B44,Stammdaten!$A$10:$S$99,M$17,0)=0),"",(VLOOKUP($B44,Stammdaten!$A$10:$S$99,M$17,0))))</f>
        <v/>
      </c>
      <c r="N44" s="395" t="str">
        <f>IF(ISNA(VLOOKUP($B44,Stammdaten!$A$10:$S$99,M$17,0)),"",VLOOKUP($B44,Stammdaten!$A$10:$S$99,N$17,0)*Fläche)</f>
        <v/>
      </c>
      <c r="O44" s="395" t="str">
        <f>IF(ISNA(VLOOKUP($B44,Stammdaten!$A$10:$S$99,M$17,0)),"",VLOOKUP($B44,Stammdaten!$A$10:$S$99,O$17,0)/1000*$A$3*Fläche)</f>
        <v/>
      </c>
      <c r="P44" s="395" t="str">
        <f t="shared" si="11"/>
        <v/>
      </c>
      <c r="Q44" s="396" t="str">
        <f>IF(ISNA(VLOOKUP($B44,Stammdaten!$A$10:$S$99,Q$17,0)),"",IF((VLOOKUP($B44,Stammdaten!$A$10:$S$99,Q$17,0)=0),"",(VLOOKUP($B44,Stammdaten!$A$10:$S$99,Q$17,0))))</f>
        <v/>
      </c>
      <c r="R44" s="395" t="str">
        <f>IF(ISNA(VLOOKUP($B44,Stammdaten!$A$10:$S$99,R$17,0)),"",IF((VLOOKUP($B44,Stammdaten!$A$10:$S$99,R$17,0)=0),"",(VLOOKUP($B44,Stammdaten!$A$10:$S$99,R$17,0))))</f>
        <v/>
      </c>
      <c r="S44" s="397" t="str">
        <f>IF(ISNA(VLOOKUP($B44,Stammdaten!$A$10:$S$99,S$17,0)),"",IF((VLOOKUP($B44,Stammdaten!$A$10:$S$99,S$17,0)=0),"",(VLOOKUP($B44,Stammdaten!$A$10:$S$99,S$17,0))))</f>
        <v/>
      </c>
      <c r="T44" s="398" t="str">
        <f>IF(ISNA(VLOOKUP($B44,Stammdaten!$A$10:$S$99,T$17,0)),"",IF((VLOOKUP($B44,Stammdaten!$A$10:$S$99,T$17,0)=0),"",(VLOOKUP($B44,Stammdaten!$A$10:$S$99,T$17,0))))</f>
        <v/>
      </c>
      <c r="U44" s="398" t="str">
        <f>IF(ISNA(VLOOKUP($B44,Stammdaten!$A$10:$S$99,U$17,0)),"",IF((VLOOKUP($B44,Stammdaten!$A$10:$S$99,U$17,0)=0),"",(VLOOKUP($B44,Stammdaten!$A$10:$S$99,U$17,0))))</f>
        <v/>
      </c>
      <c r="V44" s="398" t="str">
        <f>IF(ISNA(VLOOKUP($B44,Stammdaten!$A$10:$S$99,V$17,0)),"",IF((VLOOKUP($B44,Stammdaten!$A$10:$S$99,V$17,0)=0),"",(VLOOKUP($B44,Stammdaten!$A$10:$S$99,V$17,0))))</f>
        <v/>
      </c>
      <c r="W44" s="399" t="str">
        <f>IF(ISNA(VLOOKUP($B44,Stammdaten!$A$10:$S$99,W$17,0)),"",IF((VLOOKUP($B44,Stammdaten!$A$10:$S$99,W$17,0)=0),"",(VLOOKUP($B44,Stammdaten!$A$10:$S$99,W$17,0))))</f>
        <v/>
      </c>
      <c r="X44" s="400" t="str">
        <f t="shared" si="0"/>
        <v/>
      </c>
      <c r="Y44" s="401" t="str">
        <f>IF(OR(B44=30,B44=31),Ablauf!$D$5,"")</f>
        <v/>
      </c>
      <c r="Z44" s="401" t="str">
        <f>IF(OR(B44=30,B44=31),Ablauf!V44,"")</f>
        <v/>
      </c>
      <c r="AA44" s="401" t="str">
        <f>IF(OR(B44=61,B44=62),Ablauf!$D$7,"")</f>
        <v/>
      </c>
      <c r="AB44" s="401" t="str">
        <f>IF(OR(B44=61,B44=62),Ablauf!V44,"")</f>
        <v/>
      </c>
      <c r="AC44" s="402" t="str">
        <f t="shared" si="1"/>
        <v/>
      </c>
      <c r="AD44" s="403" t="str">
        <f t="shared" si="8"/>
        <v/>
      </c>
      <c r="AF44" s="501">
        <v>51</v>
      </c>
      <c r="AG44" s="405" t="str">
        <f>IF(ISNA(VLOOKUP(AF44,Stammdaten!$A$10:$S$99,$C$17,0)),"",IF((VLOOKUP(AF44,Stammdaten!$A$10:$S$99,$C$17,0)=0),"",(VLOOKUP(AF44,Stammdaten!$A$10:$S$99,$C$17,0))))</f>
        <v>Carbongewebe 600 g/m²</v>
      </c>
      <c r="AH44" s="409"/>
      <c r="AI44" s="508"/>
      <c r="AJ44" s="510"/>
      <c r="AK44" s="509"/>
      <c r="AL44" s="410"/>
      <c r="AM44" s="406">
        <f t="shared" si="9"/>
        <v>0</v>
      </c>
      <c r="AN44" s="406">
        <f t="shared" si="2"/>
        <v>0</v>
      </c>
    </row>
    <row r="45" spans="1:40" ht="18" customHeight="1">
      <c r="A45" s="495">
        <v>26</v>
      </c>
      <c r="B45" s="497"/>
      <c r="C45" s="390" t="str">
        <f>IF(ISNA(VLOOKUP(B45,Stammdaten!$A$10:$S$99,$C$17,0)),"",IF((VLOOKUP(B45,Stammdaten!$A$10:$S$99,$C$17,0)=0),"",(VLOOKUP(B45,Stammdaten!$A$10:$S$99,$C$17,0))))</f>
        <v/>
      </c>
      <c r="D45" s="306"/>
      <c r="E45" s="498" t="str">
        <f t="shared" si="3"/>
        <v/>
      </c>
      <c r="F45" s="499" t="str">
        <f t="shared" si="4"/>
        <v/>
      </c>
      <c r="G45" s="499" t="str">
        <f t="shared" si="5"/>
        <v/>
      </c>
      <c r="H45" s="499" t="str">
        <f t="shared" si="6"/>
        <v/>
      </c>
      <c r="I45" s="391" t="str">
        <f>IF(ISNA(VLOOKUP($B45,Stammdaten!$A$10:$S$99,I$17,0)),"",IF((VLOOKUP($B45,Stammdaten!$A$10:$S$99,I$17,0)=0),"",(VLOOKUP($B45,Stammdaten!$A$10:$S$99,I$17,0))))</f>
        <v/>
      </c>
      <c r="J45" s="392" t="str">
        <f>IF(ISNA(VLOOKUP($B45,Stammdaten!$A$10:$S$99,J$17,0)),"",IF((VLOOKUP($B45,Stammdaten!$A$10:$S$99,J$17,0)=0),"",(VLOOKUP($B45,Stammdaten!$A$10:$S$99,J$17,0))))</f>
        <v/>
      </c>
      <c r="K45" s="393" t="str">
        <f>IF(ISNA(VLOOKUP($B45,Stammdaten!$A$10:$S$99,K$17,0)),"",IF((VLOOKUP($B45,Stammdaten!$A$10:$S$99,K$17,0)=0),"",(VLOOKUP($B45,Stammdaten!$A$10:$S$99,K$17,0))))</f>
        <v/>
      </c>
      <c r="L45" s="394" t="str">
        <f t="shared" si="7"/>
        <v/>
      </c>
      <c r="M45" s="395" t="str">
        <f>IF(ISNA(VLOOKUP($B45,Stammdaten!$A$10:$S$99,M$17,0)),"",IF((VLOOKUP($B45,Stammdaten!$A$10:$S$99,M$17,0)=0),"",(VLOOKUP($B45,Stammdaten!$A$10:$S$99,M$17,0))))</f>
        <v/>
      </c>
      <c r="N45" s="395" t="str">
        <f>IF(ISNA(VLOOKUP($B45,Stammdaten!$A$10:$S$99,M$17,0)),"",VLOOKUP($B45,Stammdaten!$A$10:$S$99,N$17,0)*Fläche)</f>
        <v/>
      </c>
      <c r="O45" s="395" t="str">
        <f>IF(ISNA(VLOOKUP($B45,Stammdaten!$A$10:$S$99,M$17,0)),"",VLOOKUP($B45,Stammdaten!$A$10:$S$99,O$17,0)/1000*$A$3*Fläche)</f>
        <v/>
      </c>
      <c r="P45" s="395" t="str">
        <f t="shared" si="11"/>
        <v/>
      </c>
      <c r="Q45" s="396" t="str">
        <f>IF(ISNA(VLOOKUP($B45,Stammdaten!$A$10:$S$99,Q$17,0)),"",IF((VLOOKUP($B45,Stammdaten!$A$10:$S$99,Q$17,0)=0),"",(VLOOKUP($B45,Stammdaten!$A$10:$S$99,Q$17,0))))</f>
        <v/>
      </c>
      <c r="R45" s="395" t="str">
        <f>IF(ISNA(VLOOKUP($B45,Stammdaten!$A$10:$S$99,R$17,0)),"",IF((VLOOKUP($B45,Stammdaten!$A$10:$S$99,R$17,0)=0),"",(VLOOKUP($B45,Stammdaten!$A$10:$S$99,R$17,0))))</f>
        <v/>
      </c>
      <c r="S45" s="397" t="str">
        <f>IF(ISNA(VLOOKUP($B45,Stammdaten!$A$10:$S$99,S$17,0)),"",IF((VLOOKUP($B45,Stammdaten!$A$10:$S$99,S$17,0)=0),"",(VLOOKUP($B45,Stammdaten!$A$10:$S$99,S$17,0))))</f>
        <v/>
      </c>
      <c r="T45" s="398" t="str">
        <f>IF(ISNA(VLOOKUP($B45,Stammdaten!$A$10:$S$99,T$17,0)),"",IF((VLOOKUP($B45,Stammdaten!$A$10:$S$99,T$17,0)=0),"",(VLOOKUP($B45,Stammdaten!$A$10:$S$99,T$17,0))))</f>
        <v/>
      </c>
      <c r="U45" s="398" t="str">
        <f>IF(ISNA(VLOOKUP($B45,Stammdaten!$A$10:$S$99,U$17,0)),"",IF((VLOOKUP($B45,Stammdaten!$A$10:$S$99,U$17,0)=0),"",(VLOOKUP($B45,Stammdaten!$A$10:$S$99,U$17,0))))</f>
        <v/>
      </c>
      <c r="V45" s="398" t="str">
        <f>IF(ISNA(VLOOKUP($B45,Stammdaten!$A$10:$S$99,V$17,0)),"",IF((VLOOKUP($B45,Stammdaten!$A$10:$S$99,V$17,0)=0),"",(VLOOKUP($B45,Stammdaten!$A$10:$S$99,V$17,0))))</f>
        <v/>
      </c>
      <c r="W45" s="399" t="str">
        <f>IF(ISNA(VLOOKUP($B45,Stammdaten!$A$10:$S$99,W$17,0)),"",IF((VLOOKUP($B45,Stammdaten!$A$10:$S$99,W$17,0)=0),"",(VLOOKUP($B45,Stammdaten!$A$10:$S$99,W$17,0))))</f>
        <v/>
      </c>
      <c r="X45" s="400" t="str">
        <f t="shared" si="0"/>
        <v/>
      </c>
      <c r="Y45" s="401" t="str">
        <f>IF(OR(B45=30,B45=31),Ablauf!$D$5,"")</f>
        <v/>
      </c>
      <c r="Z45" s="401" t="str">
        <f>IF(OR(B45=30,B45=31),Ablauf!V45,"")</f>
        <v/>
      </c>
      <c r="AA45" s="401" t="str">
        <f>IF(OR(B45=61,B45=62),Ablauf!$D$7,"")</f>
        <v/>
      </c>
      <c r="AB45" s="401" t="str">
        <f>IF(OR(B45=61,B45=62),Ablauf!V45,"")</f>
        <v/>
      </c>
      <c r="AC45" s="402" t="str">
        <f t="shared" si="1"/>
        <v/>
      </c>
      <c r="AD45" s="403" t="str">
        <f t="shared" si="8"/>
        <v/>
      </c>
      <c r="AF45" s="501">
        <v>52</v>
      </c>
      <c r="AG45" s="405" t="str">
        <f>IF(ISNA(VLOOKUP(AF45,Stammdaten!$A$10:$S$99,$C$17,0)),"",IF((VLOOKUP(AF45,Stammdaten!$A$10:$S$99,$C$17,0)=0),"",(VLOOKUP(AF45,Stammdaten!$A$10:$S$99,$C$17,0))))</f>
        <v/>
      </c>
      <c r="AH45" s="409"/>
      <c r="AI45" s="508"/>
      <c r="AJ45" s="510"/>
      <c r="AK45" s="509"/>
      <c r="AL45" s="410"/>
      <c r="AM45" s="406">
        <f t="shared" si="9"/>
        <v>0</v>
      </c>
      <c r="AN45" s="406">
        <f t="shared" si="2"/>
        <v>0</v>
      </c>
    </row>
    <row r="46" spans="1:40" ht="18" customHeight="1">
      <c r="A46" s="495">
        <v>27</v>
      </c>
      <c r="B46" s="497"/>
      <c r="C46" s="390" t="str">
        <f>IF(ISNA(VLOOKUP(B46,Stammdaten!$A$10:$S$99,$C$17,0)),"",IF((VLOOKUP(B46,Stammdaten!$A$10:$S$99,$C$17,0)=0),"",(VLOOKUP(B46,Stammdaten!$A$10:$S$99,$C$17,0))))</f>
        <v/>
      </c>
      <c r="D46" s="306"/>
      <c r="E46" s="498" t="str">
        <f t="shared" si="3"/>
        <v/>
      </c>
      <c r="F46" s="499" t="str">
        <f t="shared" si="4"/>
        <v/>
      </c>
      <c r="G46" s="499" t="str">
        <f t="shared" si="5"/>
        <v/>
      </c>
      <c r="H46" s="499" t="str">
        <f t="shared" si="6"/>
        <v/>
      </c>
      <c r="I46" s="391" t="str">
        <f>IF(ISNA(VLOOKUP($B46,Stammdaten!$A$10:$S$99,I$17,0)),"",IF((VLOOKUP($B46,Stammdaten!$A$10:$S$99,I$17,0)=0),"",(VLOOKUP($B46,Stammdaten!$A$10:$S$99,I$17,0))))</f>
        <v/>
      </c>
      <c r="J46" s="392" t="str">
        <f>IF(ISNA(VLOOKUP($B46,Stammdaten!$A$10:$S$99,J$17,0)),"",IF((VLOOKUP($B46,Stammdaten!$A$10:$S$99,J$17,0)=0),"",(VLOOKUP($B46,Stammdaten!$A$10:$S$99,J$17,0))))</f>
        <v/>
      </c>
      <c r="K46" s="393" t="str">
        <f>IF(ISNA(VLOOKUP($B46,Stammdaten!$A$10:$S$99,K$17,0)),"",IF((VLOOKUP($B46,Stammdaten!$A$10:$S$99,K$17,0)=0),"",(VLOOKUP($B46,Stammdaten!$A$10:$S$99,K$17,0))))</f>
        <v/>
      </c>
      <c r="L46" s="394" t="str">
        <f t="shared" si="7"/>
        <v/>
      </c>
      <c r="M46" s="395" t="str">
        <f>IF(ISNA(VLOOKUP($B46,Stammdaten!$A$10:$S$99,M$17,0)),"",IF((VLOOKUP($B46,Stammdaten!$A$10:$S$99,M$17,0)=0),"",(VLOOKUP($B46,Stammdaten!$A$10:$S$99,M$17,0))))</f>
        <v/>
      </c>
      <c r="N46" s="395" t="str">
        <f>IF(ISNA(VLOOKUP($B46,Stammdaten!$A$10:$S$99,M$17,0)),"",VLOOKUP($B46,Stammdaten!$A$10:$S$99,N$17,0)*Fläche)</f>
        <v/>
      </c>
      <c r="O46" s="395" t="str">
        <f>IF(ISNA(VLOOKUP($B46,Stammdaten!$A$10:$S$99,M$17,0)),"",VLOOKUP($B46,Stammdaten!$A$10:$S$99,O$17,0)/1000*$A$3*Fläche)</f>
        <v/>
      </c>
      <c r="P46" s="395" t="str">
        <f t="shared" si="11"/>
        <v/>
      </c>
      <c r="Q46" s="396" t="str">
        <f>IF(ISNA(VLOOKUP($B46,Stammdaten!$A$10:$S$99,Q$17,0)),"",IF((VLOOKUP($B46,Stammdaten!$A$10:$S$99,Q$17,0)=0),"",(VLOOKUP($B46,Stammdaten!$A$10:$S$99,Q$17,0))))</f>
        <v/>
      </c>
      <c r="R46" s="395" t="str">
        <f>IF(ISNA(VLOOKUP($B46,Stammdaten!$A$10:$S$99,R$17,0)),"",IF((VLOOKUP($B46,Stammdaten!$A$10:$S$99,R$17,0)=0),"",(VLOOKUP($B46,Stammdaten!$A$10:$S$99,R$17,0))))</f>
        <v/>
      </c>
      <c r="S46" s="397" t="str">
        <f>IF(ISNA(VLOOKUP($B46,Stammdaten!$A$10:$S$99,S$17,0)),"",IF((VLOOKUP($B46,Stammdaten!$A$10:$S$99,S$17,0)=0),"",(VLOOKUP($B46,Stammdaten!$A$10:$S$99,S$17,0))))</f>
        <v/>
      </c>
      <c r="T46" s="398" t="str">
        <f>IF(ISNA(VLOOKUP($B46,Stammdaten!$A$10:$S$99,T$17,0)),"",IF((VLOOKUP($B46,Stammdaten!$A$10:$S$99,T$17,0)=0),"",(VLOOKUP($B46,Stammdaten!$A$10:$S$99,T$17,0))))</f>
        <v/>
      </c>
      <c r="U46" s="398" t="str">
        <f>IF(ISNA(VLOOKUP($B46,Stammdaten!$A$10:$S$99,U$17,0)),"",IF((VLOOKUP($B46,Stammdaten!$A$10:$S$99,U$17,0)=0),"",(VLOOKUP($B46,Stammdaten!$A$10:$S$99,U$17,0))))</f>
        <v/>
      </c>
      <c r="V46" s="398" t="str">
        <f>IF(ISNA(VLOOKUP($B46,Stammdaten!$A$10:$S$99,V$17,0)),"",IF((VLOOKUP($B46,Stammdaten!$A$10:$S$99,V$17,0)=0),"",(VLOOKUP($B46,Stammdaten!$A$10:$S$99,V$17,0))))</f>
        <v/>
      </c>
      <c r="W46" s="399" t="str">
        <f>IF(ISNA(VLOOKUP($B46,Stammdaten!$A$10:$S$99,W$17,0)),"",IF((VLOOKUP($B46,Stammdaten!$A$10:$S$99,W$17,0)=0),"",(VLOOKUP($B46,Stammdaten!$A$10:$S$99,W$17,0))))</f>
        <v/>
      </c>
      <c r="X46" s="400" t="str">
        <f t="shared" si="0"/>
        <v/>
      </c>
      <c r="Y46" s="401" t="str">
        <f>IF(OR(B46=30,B46=31),Ablauf!$D$5,"")</f>
        <v/>
      </c>
      <c r="Z46" s="401" t="str">
        <f>IF(OR(B46=30,B46=31),Ablauf!V46,"")</f>
        <v/>
      </c>
      <c r="AA46" s="401" t="str">
        <f>IF(OR(B46=61,B46=62),Ablauf!$D$7,"")</f>
        <v/>
      </c>
      <c r="AB46" s="401" t="str">
        <f>IF(OR(B46=61,B46=62),Ablauf!V46,"")</f>
        <v/>
      </c>
      <c r="AC46" s="402" t="str">
        <f t="shared" si="1"/>
        <v/>
      </c>
      <c r="AD46" s="403" t="str">
        <f t="shared" si="8"/>
        <v/>
      </c>
      <c r="AF46" s="503"/>
      <c r="AG46" s="329"/>
      <c r="AH46" s="409"/>
      <c r="AI46" s="508"/>
      <c r="AJ46" s="510"/>
      <c r="AK46" s="509"/>
      <c r="AL46" s="410"/>
      <c r="AM46" s="406">
        <f t="shared" si="9"/>
        <v>0</v>
      </c>
      <c r="AN46" s="406">
        <f t="shared" si="2"/>
        <v>0</v>
      </c>
    </row>
    <row r="47" spans="1:40" ht="18" customHeight="1">
      <c r="A47" s="495">
        <v>28</v>
      </c>
      <c r="B47" s="497"/>
      <c r="C47" s="390" t="str">
        <f>IF(ISNA(VLOOKUP(B47,Stammdaten!$A$10:$S$99,$C$17,0)),"",IF((VLOOKUP(B47,Stammdaten!$A$10:$S$99,$C$17,0)=0),"",(VLOOKUP(B47,Stammdaten!$A$10:$S$99,$C$17,0))))</f>
        <v/>
      </c>
      <c r="D47" s="306"/>
      <c r="E47" s="498" t="str">
        <f t="shared" si="3"/>
        <v/>
      </c>
      <c r="F47" s="499" t="str">
        <f t="shared" si="4"/>
        <v/>
      </c>
      <c r="G47" s="499" t="str">
        <f t="shared" si="5"/>
        <v/>
      </c>
      <c r="H47" s="499" t="str">
        <f t="shared" si="6"/>
        <v/>
      </c>
      <c r="I47" s="391" t="str">
        <f>IF(ISNA(VLOOKUP($B47,Stammdaten!$A$10:$S$99,I$17,0)),"",IF((VLOOKUP($B47,Stammdaten!$A$10:$S$99,I$17,0)=0),"",(VLOOKUP($B47,Stammdaten!$A$10:$S$99,I$17,0))))</f>
        <v/>
      </c>
      <c r="J47" s="392" t="str">
        <f>IF(ISNA(VLOOKUP($B47,Stammdaten!$A$10:$S$99,J$17,0)),"",IF((VLOOKUP($B47,Stammdaten!$A$10:$S$99,J$17,0)=0),"",(VLOOKUP($B47,Stammdaten!$A$10:$S$99,J$17,0))))</f>
        <v/>
      </c>
      <c r="K47" s="393" t="str">
        <f>IF(ISNA(VLOOKUP($B47,Stammdaten!$A$10:$S$99,K$17,0)),"",IF((VLOOKUP($B47,Stammdaten!$A$10:$S$99,K$17,0)=0),"",(VLOOKUP($B47,Stammdaten!$A$10:$S$99,K$17,0))))</f>
        <v/>
      </c>
      <c r="L47" s="394" t="str">
        <f t="shared" si="7"/>
        <v/>
      </c>
      <c r="M47" s="395" t="str">
        <f>IF(ISNA(VLOOKUP($B47,Stammdaten!$A$10:$S$99,M$17,0)),"",IF((VLOOKUP($B47,Stammdaten!$A$10:$S$99,M$17,0)=0),"",(VLOOKUP($B47,Stammdaten!$A$10:$S$99,M$17,0))))</f>
        <v/>
      </c>
      <c r="N47" s="395" t="str">
        <f>IF(ISNA(VLOOKUP($B47,Stammdaten!$A$10:$S$99,M$17,0)),"",VLOOKUP($B47,Stammdaten!$A$10:$S$99,N$17,0)*Fläche)</f>
        <v/>
      </c>
      <c r="O47" s="395" t="str">
        <f>IF(ISNA(VLOOKUP($B47,Stammdaten!$A$10:$S$99,M$17,0)),"",VLOOKUP($B47,Stammdaten!$A$10:$S$99,O$17,0)/1000*$A$3*Fläche)</f>
        <v/>
      </c>
      <c r="P47" s="395" t="str">
        <f t="shared" si="11"/>
        <v/>
      </c>
      <c r="Q47" s="396" t="str">
        <f>IF(ISNA(VLOOKUP($B47,Stammdaten!$A$10:$S$99,Q$17,0)),"",IF((VLOOKUP($B47,Stammdaten!$A$10:$S$99,Q$17,0)=0),"",(VLOOKUP($B47,Stammdaten!$A$10:$S$99,Q$17,0))))</f>
        <v/>
      </c>
      <c r="R47" s="395" t="str">
        <f>IF(ISNA(VLOOKUP($B47,Stammdaten!$A$10:$S$99,R$17,0)),"",IF((VLOOKUP($B47,Stammdaten!$A$10:$S$99,R$17,0)=0),"",(VLOOKUP($B47,Stammdaten!$A$10:$S$99,R$17,0))))</f>
        <v/>
      </c>
      <c r="S47" s="397" t="str">
        <f>IF(ISNA(VLOOKUP($B47,Stammdaten!$A$10:$S$99,S$17,0)),"",IF((VLOOKUP($B47,Stammdaten!$A$10:$S$99,S$17,0)=0),"",(VLOOKUP($B47,Stammdaten!$A$10:$S$99,S$17,0))))</f>
        <v/>
      </c>
      <c r="T47" s="398" t="str">
        <f>IF(ISNA(VLOOKUP($B47,Stammdaten!$A$10:$S$99,T$17,0)),"",IF((VLOOKUP($B47,Stammdaten!$A$10:$S$99,T$17,0)=0),"",(VLOOKUP($B47,Stammdaten!$A$10:$S$99,T$17,0))))</f>
        <v/>
      </c>
      <c r="U47" s="398" t="str">
        <f>IF(ISNA(VLOOKUP($B47,Stammdaten!$A$10:$S$99,U$17,0)),"",IF((VLOOKUP($B47,Stammdaten!$A$10:$S$99,U$17,0)=0),"",(VLOOKUP($B47,Stammdaten!$A$10:$S$99,U$17,0))))</f>
        <v/>
      </c>
      <c r="V47" s="398" t="str">
        <f>IF(ISNA(VLOOKUP($B47,Stammdaten!$A$10:$S$99,V$17,0)),"",IF((VLOOKUP($B47,Stammdaten!$A$10:$S$99,V$17,0)=0),"",(VLOOKUP($B47,Stammdaten!$A$10:$S$99,V$17,0))))</f>
        <v/>
      </c>
      <c r="W47" s="399" t="str">
        <f>IF(ISNA(VLOOKUP($B47,Stammdaten!$A$10:$S$99,W$17,0)),"",IF((VLOOKUP($B47,Stammdaten!$A$10:$S$99,W$17,0)=0),"",(VLOOKUP($B47,Stammdaten!$A$10:$S$99,W$17,0))))</f>
        <v/>
      </c>
      <c r="X47" s="400" t="str">
        <f t="shared" si="0"/>
        <v/>
      </c>
      <c r="Y47" s="401" t="str">
        <f>IF(OR(B47=30,B47=31),Ablauf!$D$5,"")</f>
        <v/>
      </c>
      <c r="Z47" s="401" t="str">
        <f>IF(OR(B47=30,B47=31),Ablauf!V47,"")</f>
        <v/>
      </c>
      <c r="AA47" s="401" t="str">
        <f>IF(OR(B47=61,B47=62),Ablauf!$D$7,"")</f>
        <v/>
      </c>
      <c r="AB47" s="401" t="str">
        <f>IF(OR(B47=61,B47=62),Ablauf!V47,"")</f>
        <v/>
      </c>
      <c r="AC47" s="402" t="str">
        <f t="shared" si="1"/>
        <v/>
      </c>
      <c r="AD47" s="403" t="str">
        <f t="shared" si="8"/>
        <v/>
      </c>
      <c r="AE47" s="337"/>
      <c r="AF47" s="501">
        <v>60</v>
      </c>
      <c r="AG47" s="405" t="str">
        <f>IF(ISNA(VLOOKUP(AF47,Stammdaten!$A$10:$S$99,$C$17,0)),"",IF((VLOOKUP(AF47,Stammdaten!$A$10:$S$99,$C$17,0)=0),"",(VLOOKUP(AF47,Stammdaten!$A$10:$S$99,$C$17,0))))</f>
        <v>PU-Schaum</v>
      </c>
      <c r="AH47" s="409"/>
      <c r="AI47" s="508"/>
      <c r="AJ47" s="510"/>
      <c r="AK47" s="509"/>
      <c r="AL47" s="410"/>
      <c r="AM47" s="406">
        <f t="shared" si="9"/>
        <v>0</v>
      </c>
      <c r="AN47" s="406">
        <f t="shared" si="2"/>
        <v>0</v>
      </c>
    </row>
    <row r="48" spans="1:40" ht="18" customHeight="1">
      <c r="A48" s="495">
        <v>29</v>
      </c>
      <c r="B48" s="497"/>
      <c r="C48" s="390" t="str">
        <f>IF(ISNA(VLOOKUP(B48,Stammdaten!$A$10:$S$99,$C$17,0)),"",IF((VLOOKUP(B48,Stammdaten!$A$10:$S$99,$C$17,0)=0),"",(VLOOKUP(B48,Stammdaten!$A$10:$S$99,$C$17,0))))</f>
        <v/>
      </c>
      <c r="D48" s="306"/>
      <c r="E48" s="498" t="str">
        <f t="shared" si="3"/>
        <v/>
      </c>
      <c r="F48" s="499" t="str">
        <f t="shared" si="4"/>
        <v/>
      </c>
      <c r="G48" s="499" t="str">
        <f t="shared" si="5"/>
        <v/>
      </c>
      <c r="H48" s="499" t="str">
        <f t="shared" si="6"/>
        <v/>
      </c>
      <c r="I48" s="391" t="str">
        <f>IF(ISNA(VLOOKUP($B48,Stammdaten!$A$10:$S$99,I$17,0)),"",IF((VLOOKUP($B48,Stammdaten!$A$10:$S$99,I$17,0)=0),"",(VLOOKUP($B48,Stammdaten!$A$10:$S$99,I$17,0))))</f>
        <v/>
      </c>
      <c r="J48" s="392" t="str">
        <f>IF(ISNA(VLOOKUP($B48,Stammdaten!$A$10:$S$99,J$17,0)),"",IF((VLOOKUP($B48,Stammdaten!$A$10:$S$99,J$17,0)=0),"",(VLOOKUP($B48,Stammdaten!$A$10:$S$99,J$17,0))))</f>
        <v/>
      </c>
      <c r="K48" s="393" t="str">
        <f>IF(ISNA(VLOOKUP($B48,Stammdaten!$A$10:$S$99,K$17,0)),"",IF((VLOOKUP($B48,Stammdaten!$A$10:$S$99,K$17,0)=0),"",(VLOOKUP($B48,Stammdaten!$A$10:$S$99,K$17,0))))</f>
        <v/>
      </c>
      <c r="L48" s="394" t="str">
        <f t="shared" si="7"/>
        <v/>
      </c>
      <c r="M48" s="395" t="str">
        <f>IF(ISNA(VLOOKUP($B48,Stammdaten!$A$10:$S$99,M$17,0)),"",IF((VLOOKUP($B48,Stammdaten!$A$10:$S$99,M$17,0)=0),"",(VLOOKUP($B48,Stammdaten!$A$10:$S$99,M$17,0))))</f>
        <v/>
      </c>
      <c r="N48" s="395" t="str">
        <f>IF(ISNA(VLOOKUP($B48,Stammdaten!$A$10:$S$99,M$17,0)),"",VLOOKUP($B48,Stammdaten!$A$10:$S$99,N$17,0)*Fläche)</f>
        <v/>
      </c>
      <c r="O48" s="395" t="str">
        <f>IF(ISNA(VLOOKUP($B48,Stammdaten!$A$10:$S$99,M$17,0)),"",VLOOKUP($B48,Stammdaten!$A$10:$S$99,O$17,0)/1000*$A$3*Fläche)</f>
        <v/>
      </c>
      <c r="P48" s="395" t="str">
        <f t="shared" si="11"/>
        <v/>
      </c>
      <c r="Q48" s="396" t="str">
        <f>IF(ISNA(VLOOKUP($B48,Stammdaten!$A$10:$S$99,Q$17,0)),"",IF((VLOOKUP($B48,Stammdaten!$A$10:$S$99,Q$17,0)=0),"",(VLOOKUP($B48,Stammdaten!$A$10:$S$99,Q$17,0))))</f>
        <v/>
      </c>
      <c r="R48" s="395" t="str">
        <f>IF(ISNA(VLOOKUP($B48,Stammdaten!$A$10:$S$99,R$17,0)),"",IF((VLOOKUP($B48,Stammdaten!$A$10:$S$99,R$17,0)=0),"",(VLOOKUP($B48,Stammdaten!$A$10:$S$99,R$17,0))))</f>
        <v/>
      </c>
      <c r="S48" s="397" t="str">
        <f>IF(ISNA(VLOOKUP($B48,Stammdaten!$A$10:$S$99,S$17,0)),"",IF((VLOOKUP($B48,Stammdaten!$A$10:$S$99,S$17,0)=0),"",(VLOOKUP($B48,Stammdaten!$A$10:$S$99,S$17,0))))</f>
        <v/>
      </c>
      <c r="T48" s="398" t="str">
        <f>IF(ISNA(VLOOKUP($B48,Stammdaten!$A$10:$S$99,T$17,0)),"",IF((VLOOKUP($B48,Stammdaten!$A$10:$S$99,T$17,0)=0),"",(VLOOKUP($B48,Stammdaten!$A$10:$S$99,T$17,0))))</f>
        <v/>
      </c>
      <c r="U48" s="398" t="str">
        <f>IF(ISNA(VLOOKUP($B48,Stammdaten!$A$10:$S$99,U$17,0)),"",IF((VLOOKUP($B48,Stammdaten!$A$10:$S$99,U$17,0)=0),"",(VLOOKUP($B48,Stammdaten!$A$10:$S$99,U$17,0))))</f>
        <v/>
      </c>
      <c r="V48" s="398" t="str">
        <f>IF(ISNA(VLOOKUP($B48,Stammdaten!$A$10:$S$99,V$17,0)),"",IF((VLOOKUP($B48,Stammdaten!$A$10:$S$99,V$17,0)=0),"",(VLOOKUP($B48,Stammdaten!$A$10:$S$99,V$17,0))))</f>
        <v/>
      </c>
      <c r="W48" s="399" t="str">
        <f>IF(ISNA(VLOOKUP($B48,Stammdaten!$A$10:$S$99,W$17,0)),"",IF((VLOOKUP($B48,Stammdaten!$A$10:$S$99,W$17,0)=0),"",(VLOOKUP($B48,Stammdaten!$A$10:$S$99,W$17,0))))</f>
        <v/>
      </c>
      <c r="X48" s="400" t="str">
        <f t="shared" si="0"/>
        <v/>
      </c>
      <c r="Y48" s="401" t="str">
        <f>IF(OR(B48=30,B48=31),Ablauf!$D$5,"")</f>
        <v/>
      </c>
      <c r="Z48" s="401" t="str">
        <f>IF(OR(B48=30,B48=31),Ablauf!V48,"")</f>
        <v/>
      </c>
      <c r="AA48" s="401" t="str">
        <f>IF(OR(B48=61,B48=62),Ablauf!$D$7,"")</f>
        <v/>
      </c>
      <c r="AB48" s="401" t="str">
        <f>IF(OR(B48=61,B48=62),Ablauf!V48,"")</f>
        <v/>
      </c>
      <c r="AC48" s="402" t="str">
        <f t="shared" si="1"/>
        <v/>
      </c>
      <c r="AD48" s="403" t="str">
        <f t="shared" si="8"/>
        <v/>
      </c>
      <c r="AE48" s="337"/>
      <c r="AF48" s="501">
        <v>61</v>
      </c>
      <c r="AG48" s="405" t="str">
        <f>IF(ISNA(VLOOKUP(AF48,Stammdaten!$A$10:$S$99,$C$17,0)),"",IF((VLOOKUP(AF48,Stammdaten!$A$10:$S$99,$C$17,0)=0),"",(VLOOKUP(AF48,Stammdaten!$A$10:$S$99,$C$17,0))))</f>
        <v>Topcoat spritzen</v>
      </c>
      <c r="AH48" s="409"/>
      <c r="AI48" s="508"/>
      <c r="AJ48" s="510"/>
      <c r="AK48" s="509"/>
      <c r="AL48" s="410"/>
      <c r="AM48" s="406">
        <f t="shared" si="9"/>
        <v>0</v>
      </c>
      <c r="AN48" s="406">
        <f t="shared" si="2"/>
        <v>0</v>
      </c>
    </row>
    <row r="49" spans="1:40" ht="18" customHeight="1">
      <c r="A49" s="495">
        <v>30</v>
      </c>
      <c r="B49" s="497"/>
      <c r="C49" s="390" t="str">
        <f>IF(ISNA(VLOOKUP(B49,Stammdaten!$A$10:$S$99,$C$17,0)),"",IF((VLOOKUP(B49,Stammdaten!$A$10:$S$99,$C$17,0)=0),"",(VLOOKUP(B49,Stammdaten!$A$10:$S$99,$C$17,0))))</f>
        <v/>
      </c>
      <c r="D49" s="306"/>
      <c r="E49" s="498" t="str">
        <f t="shared" si="3"/>
        <v/>
      </c>
      <c r="F49" s="499" t="str">
        <f t="shared" si="4"/>
        <v/>
      </c>
      <c r="G49" s="499" t="str">
        <f t="shared" si="5"/>
        <v/>
      </c>
      <c r="H49" s="499" t="str">
        <f t="shared" si="6"/>
        <v/>
      </c>
      <c r="I49" s="391" t="str">
        <f>IF(ISNA(VLOOKUP($B49,Stammdaten!$A$10:$S$99,I$17,0)),"",IF((VLOOKUP($B49,Stammdaten!$A$10:$S$99,I$17,0)=0),"",(VLOOKUP($B49,Stammdaten!$A$10:$S$99,I$17,0))))</f>
        <v/>
      </c>
      <c r="J49" s="392" t="str">
        <f>IF(ISNA(VLOOKUP($B49,Stammdaten!$A$10:$S$99,J$17,0)),"",IF((VLOOKUP($B49,Stammdaten!$A$10:$S$99,J$17,0)=0),"",(VLOOKUP($B49,Stammdaten!$A$10:$S$99,J$17,0))))</f>
        <v/>
      </c>
      <c r="K49" s="393" t="str">
        <f>IF(ISNA(VLOOKUP($B49,Stammdaten!$A$10:$S$99,K$17,0)),"",IF((VLOOKUP($B49,Stammdaten!$A$10:$S$99,K$17,0)=0),"",(VLOOKUP($B49,Stammdaten!$A$10:$S$99,K$17,0))))</f>
        <v/>
      </c>
      <c r="L49" s="394" t="str">
        <f t="shared" si="7"/>
        <v/>
      </c>
      <c r="M49" s="395" t="str">
        <f>IF(ISNA(VLOOKUP($B49,Stammdaten!$A$10:$S$99,M$17,0)),"",IF((VLOOKUP($B49,Stammdaten!$A$10:$S$99,M$17,0)=0),"",(VLOOKUP($B49,Stammdaten!$A$10:$S$99,M$17,0))))</f>
        <v/>
      </c>
      <c r="N49" s="395" t="str">
        <f>IF(ISNA(VLOOKUP($B49,Stammdaten!$A$10:$S$99,M$17,0)),"",VLOOKUP($B49,Stammdaten!$A$10:$S$99,N$17,0)*Fläche)</f>
        <v/>
      </c>
      <c r="O49" s="395" t="str">
        <f>IF(ISNA(VLOOKUP($B49,Stammdaten!$A$10:$S$99,M$17,0)),"",VLOOKUP($B49,Stammdaten!$A$10:$S$99,O$17,0)/1000*$A$3*Fläche)</f>
        <v/>
      </c>
      <c r="P49" s="395" t="str">
        <f t="shared" si="11"/>
        <v/>
      </c>
      <c r="Q49" s="396" t="str">
        <f>IF(ISNA(VLOOKUP($B49,Stammdaten!$A$10:$S$99,Q$17,0)),"",IF((VLOOKUP($B49,Stammdaten!$A$10:$S$99,Q$17,0)=0),"",(VLOOKUP($B49,Stammdaten!$A$10:$S$99,Q$17,0))))</f>
        <v/>
      </c>
      <c r="R49" s="395" t="str">
        <f>IF(ISNA(VLOOKUP($B49,Stammdaten!$A$10:$S$99,R$17,0)),"",IF((VLOOKUP($B49,Stammdaten!$A$10:$S$99,R$17,0)=0),"",(VLOOKUP($B49,Stammdaten!$A$10:$S$99,R$17,0))))</f>
        <v/>
      </c>
      <c r="S49" s="397" t="str">
        <f>IF(ISNA(VLOOKUP($B49,Stammdaten!$A$10:$S$99,S$17,0)),"",IF((VLOOKUP($B49,Stammdaten!$A$10:$S$99,S$17,0)=0),"",(VLOOKUP($B49,Stammdaten!$A$10:$S$99,S$17,0))))</f>
        <v/>
      </c>
      <c r="T49" s="398" t="str">
        <f>IF(ISNA(VLOOKUP($B49,Stammdaten!$A$10:$S$99,T$17,0)),"",IF((VLOOKUP($B49,Stammdaten!$A$10:$S$99,T$17,0)=0),"",(VLOOKUP($B49,Stammdaten!$A$10:$S$99,T$17,0))))</f>
        <v/>
      </c>
      <c r="U49" s="398" t="str">
        <f>IF(ISNA(VLOOKUP($B49,Stammdaten!$A$10:$S$99,U$17,0)),"",IF((VLOOKUP($B49,Stammdaten!$A$10:$S$99,U$17,0)=0),"",(VLOOKUP($B49,Stammdaten!$A$10:$S$99,U$17,0))))</f>
        <v/>
      </c>
      <c r="V49" s="398" t="str">
        <f>IF(ISNA(VLOOKUP($B49,Stammdaten!$A$10:$S$99,V$17,0)),"",IF((VLOOKUP($B49,Stammdaten!$A$10:$S$99,V$17,0)=0),"",(VLOOKUP($B49,Stammdaten!$A$10:$S$99,V$17,0))))</f>
        <v/>
      </c>
      <c r="W49" s="399" t="str">
        <f>IF(ISNA(VLOOKUP($B49,Stammdaten!$A$10:$S$99,W$17,0)),"",IF((VLOOKUP($B49,Stammdaten!$A$10:$S$99,W$17,0)=0),"",(VLOOKUP($B49,Stammdaten!$A$10:$S$99,W$17,0))))</f>
        <v/>
      </c>
      <c r="X49" s="400" t="str">
        <f t="shared" si="0"/>
        <v/>
      </c>
      <c r="Y49" s="401" t="str">
        <f>IF(OR(B49=30,B49=31),Ablauf!$D$5,"")</f>
        <v/>
      </c>
      <c r="Z49" s="401" t="str">
        <f>IF(OR(B49=30,B49=31),Ablauf!V49,"")</f>
        <v/>
      </c>
      <c r="AA49" s="401" t="str">
        <f>IF(OR(B49=61,B49=62),Ablauf!$D$7,"")</f>
        <v/>
      </c>
      <c r="AB49" s="401" t="str">
        <f>IF(OR(B49=61,B49=62),Ablauf!V49,"")</f>
        <v/>
      </c>
      <c r="AC49" s="402" t="str">
        <f t="shared" si="1"/>
        <v/>
      </c>
      <c r="AD49" s="403" t="str">
        <f t="shared" si="8"/>
        <v/>
      </c>
      <c r="AE49" s="356"/>
      <c r="AF49" s="501">
        <v>62</v>
      </c>
      <c r="AG49" s="405" t="str">
        <f>IF(ISNA(VLOOKUP(AF49,Stammdaten!$A$10:$S$99,$C$17,0)),"",IF((VLOOKUP(AF49,Stammdaten!$A$10:$S$99,$C$17,0)=0),"",(VLOOKUP(AF49,Stammdaten!$A$10:$S$99,$C$17,0))))</f>
        <v>Topcoat streichen</v>
      </c>
      <c r="AH49" s="409"/>
      <c r="AI49" s="508"/>
      <c r="AJ49" s="510"/>
      <c r="AK49" s="509"/>
      <c r="AL49" s="410"/>
      <c r="AM49" s="406">
        <f t="shared" si="9"/>
        <v>0</v>
      </c>
      <c r="AN49" s="406">
        <f t="shared" si="2"/>
        <v>0</v>
      </c>
    </row>
    <row r="50" spans="1:40" ht="18" customHeight="1">
      <c r="A50" s="495">
        <v>31</v>
      </c>
      <c r="B50" s="497"/>
      <c r="C50" s="390" t="str">
        <f>IF(ISNA(VLOOKUP(B50,Stammdaten!$A$10:$S$99,$C$17,0)),"",IF((VLOOKUP(B50,Stammdaten!$A$10:$S$99,$C$17,0)=0),"",(VLOOKUP(B50,Stammdaten!$A$10:$S$99,$C$17,0))))</f>
        <v/>
      </c>
      <c r="D50" s="306"/>
      <c r="E50" s="498" t="str">
        <f t="shared" si="3"/>
        <v/>
      </c>
      <c r="F50" s="499" t="str">
        <f t="shared" si="4"/>
        <v/>
      </c>
      <c r="G50" s="499" t="str">
        <f t="shared" si="5"/>
        <v/>
      </c>
      <c r="H50" s="499" t="str">
        <f t="shared" si="6"/>
        <v/>
      </c>
      <c r="I50" s="391" t="str">
        <f>IF(ISNA(VLOOKUP($B50,Stammdaten!$A$10:$S$99,I$17,0)),"",IF((VLOOKUP($B50,Stammdaten!$A$10:$S$99,I$17,0)=0),"",(VLOOKUP($B50,Stammdaten!$A$10:$S$99,I$17,0))))</f>
        <v/>
      </c>
      <c r="J50" s="392" t="str">
        <f>IF(ISNA(VLOOKUP($B50,Stammdaten!$A$10:$S$99,J$17,0)),"",IF((VLOOKUP($B50,Stammdaten!$A$10:$S$99,J$17,0)=0),"",(VLOOKUP($B50,Stammdaten!$A$10:$S$99,J$17,0))))</f>
        <v/>
      </c>
      <c r="K50" s="393" t="str">
        <f>IF(ISNA(VLOOKUP($B50,Stammdaten!$A$10:$S$99,K$17,0)),"",IF((VLOOKUP($B50,Stammdaten!$A$10:$S$99,K$17,0)=0),"",(VLOOKUP($B50,Stammdaten!$A$10:$S$99,K$17,0))))</f>
        <v/>
      </c>
      <c r="L50" s="394" t="str">
        <f t="shared" si="7"/>
        <v/>
      </c>
      <c r="M50" s="395" t="str">
        <f>IF(ISNA(VLOOKUP($B50,Stammdaten!$A$10:$S$99,M$17,0)),"",IF((VLOOKUP($B50,Stammdaten!$A$10:$S$99,M$17,0)=0),"",(VLOOKUP($B50,Stammdaten!$A$10:$S$99,M$17,0))))</f>
        <v/>
      </c>
      <c r="N50" s="395" t="str">
        <f>IF(ISNA(VLOOKUP($B50,Stammdaten!$A$10:$S$99,M$17,0)),"",VLOOKUP($B50,Stammdaten!$A$10:$S$99,N$17,0)*Fläche)</f>
        <v/>
      </c>
      <c r="O50" s="395" t="str">
        <f>IF(ISNA(VLOOKUP($B50,Stammdaten!$A$10:$S$99,M$17,0)),"",VLOOKUP($B50,Stammdaten!$A$10:$S$99,O$17,0)/1000*$A$3*Fläche)</f>
        <v/>
      </c>
      <c r="P50" s="395" t="str">
        <f t="shared" si="11"/>
        <v/>
      </c>
      <c r="Q50" s="396" t="str">
        <f>IF(ISNA(VLOOKUP($B50,Stammdaten!$A$10:$S$99,Q$17,0)),"",IF((VLOOKUP($B50,Stammdaten!$A$10:$S$99,Q$17,0)=0),"",(VLOOKUP($B50,Stammdaten!$A$10:$S$99,Q$17,0))))</f>
        <v/>
      </c>
      <c r="R50" s="395" t="str">
        <f>IF(ISNA(VLOOKUP($B50,Stammdaten!$A$10:$S$99,R$17,0)),"",IF((VLOOKUP($B50,Stammdaten!$A$10:$S$99,R$17,0)=0),"",(VLOOKUP($B50,Stammdaten!$A$10:$S$99,R$17,0))))</f>
        <v/>
      </c>
      <c r="S50" s="397" t="str">
        <f>IF(ISNA(VLOOKUP($B50,Stammdaten!$A$10:$S$99,S$17,0)),"",IF((VLOOKUP($B50,Stammdaten!$A$10:$S$99,S$17,0)=0),"",(VLOOKUP($B50,Stammdaten!$A$10:$S$99,S$17,0))))</f>
        <v/>
      </c>
      <c r="T50" s="398" t="str">
        <f>IF(ISNA(VLOOKUP($B50,Stammdaten!$A$10:$S$99,T$17,0)),"",IF((VLOOKUP($B50,Stammdaten!$A$10:$S$99,T$17,0)=0),"",(VLOOKUP($B50,Stammdaten!$A$10:$S$99,T$17,0))))</f>
        <v/>
      </c>
      <c r="U50" s="398" t="str">
        <f>IF(ISNA(VLOOKUP($B50,Stammdaten!$A$10:$S$99,U$17,0)),"",IF((VLOOKUP($B50,Stammdaten!$A$10:$S$99,U$17,0)=0),"",(VLOOKUP($B50,Stammdaten!$A$10:$S$99,U$17,0))))</f>
        <v/>
      </c>
      <c r="V50" s="398" t="str">
        <f>IF(ISNA(VLOOKUP($B50,Stammdaten!$A$10:$S$99,V$17,0)),"",IF((VLOOKUP($B50,Stammdaten!$A$10:$S$99,V$17,0)=0),"",(VLOOKUP($B50,Stammdaten!$A$10:$S$99,V$17,0))))</f>
        <v/>
      </c>
      <c r="W50" s="399" t="str">
        <f>IF(ISNA(VLOOKUP($B50,Stammdaten!$A$10:$S$99,W$17,0)),"",IF((VLOOKUP($B50,Stammdaten!$A$10:$S$99,W$17,0)=0),"",(VLOOKUP($B50,Stammdaten!$A$10:$S$99,W$17,0))))</f>
        <v/>
      </c>
      <c r="X50" s="400" t="str">
        <f t="shared" si="0"/>
        <v/>
      </c>
      <c r="Y50" s="401" t="str">
        <f>IF(OR(B50=30,B50=31),Ablauf!$D$5,"")</f>
        <v/>
      </c>
      <c r="Z50" s="401" t="str">
        <f>IF(OR(B50=30,B50=31),Ablauf!V50,"")</f>
        <v/>
      </c>
      <c r="AA50" s="401" t="str">
        <f>IF(OR(B50=61,B50=62),Ablauf!$D$7,"")</f>
        <v/>
      </c>
      <c r="AB50" s="401" t="str">
        <f>IF(OR(B50=61,B50=62),Ablauf!V50,"")</f>
        <v/>
      </c>
      <c r="AC50" s="402" t="str">
        <f t="shared" si="1"/>
        <v/>
      </c>
      <c r="AD50" s="403" t="str">
        <f t="shared" si="8"/>
        <v/>
      </c>
      <c r="AE50" s="356"/>
      <c r="AF50" s="503"/>
      <c r="AG50" s="329"/>
      <c r="AH50" s="409"/>
      <c r="AI50" s="508"/>
      <c r="AJ50" s="510"/>
      <c r="AK50" s="509"/>
      <c r="AL50" s="410"/>
      <c r="AM50" s="406">
        <f t="shared" si="9"/>
        <v>0</v>
      </c>
      <c r="AN50" s="406">
        <f t="shared" si="2"/>
        <v>0</v>
      </c>
    </row>
    <row r="51" spans="1:40" ht="18" customHeight="1">
      <c r="A51" s="495">
        <v>32</v>
      </c>
      <c r="B51" s="497"/>
      <c r="C51" s="390" t="str">
        <f>IF(ISNA(VLOOKUP(B51,Stammdaten!$A$10:$S$99,$C$17,0)),"",IF((VLOOKUP(B51,Stammdaten!$A$10:$S$99,$C$17,0)=0),"",(VLOOKUP(B51,Stammdaten!$A$10:$S$99,$C$17,0))))</f>
        <v/>
      </c>
      <c r="D51" s="306"/>
      <c r="E51" s="498" t="str">
        <f t="shared" si="3"/>
        <v/>
      </c>
      <c r="F51" s="499" t="str">
        <f t="shared" si="4"/>
        <v/>
      </c>
      <c r="G51" s="499" t="str">
        <f t="shared" si="5"/>
        <v/>
      </c>
      <c r="H51" s="499" t="str">
        <f t="shared" si="6"/>
        <v/>
      </c>
      <c r="I51" s="391" t="str">
        <f>IF(ISNA(VLOOKUP($B51,Stammdaten!$A$10:$S$99,I$17,0)),"",IF((VLOOKUP($B51,Stammdaten!$A$10:$S$99,I$17,0)=0),"",(VLOOKUP($B51,Stammdaten!$A$10:$S$99,I$17,0))))</f>
        <v/>
      </c>
      <c r="J51" s="392" t="str">
        <f>IF(ISNA(VLOOKUP($B51,Stammdaten!$A$10:$S$99,J$17,0)),"",IF((VLOOKUP($B51,Stammdaten!$A$10:$S$99,J$17,0)=0),"",(VLOOKUP($B51,Stammdaten!$A$10:$S$99,J$17,0))))</f>
        <v/>
      </c>
      <c r="K51" s="393" t="str">
        <f>IF(ISNA(VLOOKUP($B51,Stammdaten!$A$10:$S$99,K$17,0)),"",IF((VLOOKUP($B51,Stammdaten!$A$10:$S$99,K$17,0)=0),"",(VLOOKUP($B51,Stammdaten!$A$10:$S$99,K$17,0))))</f>
        <v/>
      </c>
      <c r="L51" s="394" t="str">
        <f t="shared" si="7"/>
        <v/>
      </c>
      <c r="M51" s="395" t="str">
        <f>IF(ISNA(VLOOKUP($B51,Stammdaten!$A$10:$S$99,M$17,0)),"",IF((VLOOKUP($B51,Stammdaten!$A$10:$S$99,M$17,0)=0),"",(VLOOKUP($B51,Stammdaten!$A$10:$S$99,M$17,0))))</f>
        <v/>
      </c>
      <c r="N51" s="395" t="str">
        <f>IF(ISNA(VLOOKUP($B51,Stammdaten!$A$10:$S$99,M$17,0)),"",VLOOKUP($B51,Stammdaten!$A$10:$S$99,N$17,0)*Fläche)</f>
        <v/>
      </c>
      <c r="O51" s="395" t="str">
        <f>IF(ISNA(VLOOKUP($B51,Stammdaten!$A$10:$S$99,M$17,0)),"",VLOOKUP($B51,Stammdaten!$A$10:$S$99,O$17,0)/1000*$A$3*Fläche)</f>
        <v/>
      </c>
      <c r="P51" s="395" t="str">
        <f t="shared" si="11"/>
        <v/>
      </c>
      <c r="Q51" s="396" t="str">
        <f>IF(ISNA(VLOOKUP($B51,Stammdaten!$A$10:$S$99,Q$17,0)),"",IF((VLOOKUP($B51,Stammdaten!$A$10:$S$99,Q$17,0)=0),"",(VLOOKUP($B51,Stammdaten!$A$10:$S$99,Q$17,0))))</f>
        <v/>
      </c>
      <c r="R51" s="395" t="str">
        <f>IF(ISNA(VLOOKUP($B51,Stammdaten!$A$10:$S$99,R$17,0)),"",IF((VLOOKUP($B51,Stammdaten!$A$10:$S$99,R$17,0)=0),"",(VLOOKUP($B51,Stammdaten!$A$10:$S$99,R$17,0))))</f>
        <v/>
      </c>
      <c r="S51" s="397" t="str">
        <f>IF(ISNA(VLOOKUP($B51,Stammdaten!$A$10:$S$99,S$17,0)),"",IF((VLOOKUP($B51,Stammdaten!$A$10:$S$99,S$17,0)=0),"",(VLOOKUP($B51,Stammdaten!$A$10:$S$99,S$17,0))))</f>
        <v/>
      </c>
      <c r="T51" s="398" t="str">
        <f>IF(ISNA(VLOOKUP($B51,Stammdaten!$A$10:$S$99,T$17,0)),"",IF((VLOOKUP($B51,Stammdaten!$A$10:$S$99,T$17,0)=0),"",(VLOOKUP($B51,Stammdaten!$A$10:$S$99,T$17,0))))</f>
        <v/>
      </c>
      <c r="U51" s="398" t="str">
        <f>IF(ISNA(VLOOKUP($B51,Stammdaten!$A$10:$S$99,U$17,0)),"",IF((VLOOKUP($B51,Stammdaten!$A$10:$S$99,U$17,0)=0),"",(VLOOKUP($B51,Stammdaten!$A$10:$S$99,U$17,0))))</f>
        <v/>
      </c>
      <c r="V51" s="398" t="str">
        <f>IF(ISNA(VLOOKUP($B51,Stammdaten!$A$10:$S$99,V$17,0)),"",IF((VLOOKUP($B51,Stammdaten!$A$10:$S$99,V$17,0)=0),"",(VLOOKUP($B51,Stammdaten!$A$10:$S$99,V$17,0))))</f>
        <v/>
      </c>
      <c r="W51" s="399" t="str">
        <f>IF(ISNA(VLOOKUP($B51,Stammdaten!$A$10:$S$99,W$17,0)),"",IF((VLOOKUP($B51,Stammdaten!$A$10:$S$99,W$17,0)=0),"",(VLOOKUP($B51,Stammdaten!$A$10:$S$99,W$17,0))))</f>
        <v/>
      </c>
      <c r="X51" s="400" t="str">
        <f t="shared" si="0"/>
        <v/>
      </c>
      <c r="Y51" s="401" t="str">
        <f>IF(OR(B51=30,B51=31),Ablauf!$D$5,"")</f>
        <v/>
      </c>
      <c r="Z51" s="401" t="str">
        <f>IF(OR(B51=30,B51=31),Ablauf!V51,"")</f>
        <v/>
      </c>
      <c r="AA51" s="401" t="str">
        <f>IF(OR(B51=61,B51=62),Ablauf!$D$7,"")</f>
        <v/>
      </c>
      <c r="AB51" s="401" t="str">
        <f>IF(OR(B51=61,B51=62),Ablauf!V51,"")</f>
        <v/>
      </c>
      <c r="AC51" s="402" t="str">
        <f t="shared" si="1"/>
        <v/>
      </c>
      <c r="AD51" s="403" t="str">
        <f t="shared" si="8"/>
        <v/>
      </c>
      <c r="AE51" s="337"/>
      <c r="AF51" s="501">
        <v>70</v>
      </c>
      <c r="AG51" s="405" t="str">
        <f>IF(ISNA(VLOOKUP(AF51,Stammdaten!$A$10:$S$99,$C$17,0)),"",IF((VLOOKUP(AF51,Stammdaten!$A$10:$S$99,$C$17,0)=0),"",(VLOOKUP(AF51,Stammdaten!$A$10:$S$99,$C$17,0))))</f>
        <v>Tempern</v>
      </c>
      <c r="AH51" s="409"/>
      <c r="AI51" s="508"/>
      <c r="AJ51" s="510"/>
      <c r="AK51" s="509"/>
      <c r="AL51" s="410"/>
      <c r="AM51" s="406">
        <f t="shared" si="9"/>
        <v>1</v>
      </c>
      <c r="AN51" s="406">
        <f t="shared" si="2"/>
        <v>0</v>
      </c>
    </row>
    <row r="52" spans="1:40" ht="18" customHeight="1">
      <c r="A52" s="495">
        <v>33</v>
      </c>
      <c r="B52" s="497"/>
      <c r="C52" s="390" t="str">
        <f>IF(ISNA(VLOOKUP(B52,Stammdaten!$A$10:$S$99,$C$17,0)),"",IF((VLOOKUP(B52,Stammdaten!$A$10:$S$99,$C$17,0)=0),"",(VLOOKUP(B52,Stammdaten!$A$10:$S$99,$C$17,0))))</f>
        <v/>
      </c>
      <c r="D52" s="306"/>
      <c r="E52" s="498" t="str">
        <f t="shared" si="3"/>
        <v/>
      </c>
      <c r="F52" s="499" t="str">
        <f t="shared" si="4"/>
        <v/>
      </c>
      <c r="G52" s="499" t="str">
        <f t="shared" si="5"/>
        <v/>
      </c>
      <c r="H52" s="499" t="str">
        <f t="shared" si="6"/>
        <v/>
      </c>
      <c r="I52" s="391" t="str">
        <f>IF(ISNA(VLOOKUP($B52,Stammdaten!$A$10:$S$99,I$17,0)),"",IF((VLOOKUP($B52,Stammdaten!$A$10:$S$99,I$17,0)=0),"",(VLOOKUP($B52,Stammdaten!$A$10:$S$99,I$17,0))))</f>
        <v/>
      </c>
      <c r="J52" s="392" t="str">
        <f>IF(ISNA(VLOOKUP($B52,Stammdaten!$A$10:$S$99,J$17,0)),"",IF((VLOOKUP($B52,Stammdaten!$A$10:$S$99,J$17,0)=0),"",(VLOOKUP($B52,Stammdaten!$A$10:$S$99,J$17,0))))</f>
        <v/>
      </c>
      <c r="K52" s="393" t="str">
        <f>IF(ISNA(VLOOKUP($B52,Stammdaten!$A$10:$S$99,K$17,0)),"",IF((VLOOKUP($B52,Stammdaten!$A$10:$S$99,K$17,0)=0),"",(VLOOKUP($B52,Stammdaten!$A$10:$S$99,K$17,0))))</f>
        <v/>
      </c>
      <c r="L52" s="394" t="str">
        <f t="shared" si="7"/>
        <v/>
      </c>
      <c r="M52" s="395" t="str">
        <f>IF(ISNA(VLOOKUP($B52,Stammdaten!$A$10:$S$99,M$17,0)),"",IF((VLOOKUP($B52,Stammdaten!$A$10:$S$99,M$17,0)=0),"",(VLOOKUP($B52,Stammdaten!$A$10:$S$99,M$17,0))))</f>
        <v/>
      </c>
      <c r="N52" s="395" t="str">
        <f>IF(ISNA(VLOOKUP($B52,Stammdaten!$A$10:$S$99,M$17,0)),"",VLOOKUP($B52,Stammdaten!$A$10:$S$99,N$17,0)*Fläche)</f>
        <v/>
      </c>
      <c r="O52" s="395" t="str">
        <f>IF(ISNA(VLOOKUP($B52,Stammdaten!$A$10:$S$99,M$17,0)),"",VLOOKUP($B52,Stammdaten!$A$10:$S$99,O$17,0)/1000*$A$3*Fläche)</f>
        <v/>
      </c>
      <c r="P52" s="395" t="str">
        <f t="shared" si="11"/>
        <v/>
      </c>
      <c r="Q52" s="396" t="str">
        <f>IF(ISNA(VLOOKUP($B52,Stammdaten!$A$10:$S$99,Q$17,0)),"",IF((VLOOKUP($B52,Stammdaten!$A$10:$S$99,Q$17,0)=0),"",(VLOOKUP($B52,Stammdaten!$A$10:$S$99,Q$17,0))))</f>
        <v/>
      </c>
      <c r="R52" s="395" t="str">
        <f>IF(ISNA(VLOOKUP($B52,Stammdaten!$A$10:$S$99,R$17,0)),"",IF((VLOOKUP($B52,Stammdaten!$A$10:$S$99,R$17,0)=0),"",(VLOOKUP($B52,Stammdaten!$A$10:$S$99,R$17,0))))</f>
        <v/>
      </c>
      <c r="S52" s="397" t="str">
        <f>IF(ISNA(VLOOKUP($B52,Stammdaten!$A$10:$S$99,S$17,0)),"",IF((VLOOKUP($B52,Stammdaten!$A$10:$S$99,S$17,0)=0),"",(VLOOKUP($B52,Stammdaten!$A$10:$S$99,S$17,0))))</f>
        <v/>
      </c>
      <c r="T52" s="398" t="str">
        <f>IF(ISNA(VLOOKUP($B52,Stammdaten!$A$10:$S$99,T$17,0)),"",IF((VLOOKUP($B52,Stammdaten!$A$10:$S$99,T$17,0)=0),"",(VLOOKUP($B52,Stammdaten!$A$10:$S$99,T$17,0))))</f>
        <v/>
      </c>
      <c r="U52" s="398" t="str">
        <f>IF(ISNA(VLOOKUP($B52,Stammdaten!$A$10:$S$99,U$17,0)),"",IF((VLOOKUP($B52,Stammdaten!$A$10:$S$99,U$17,0)=0),"",(VLOOKUP($B52,Stammdaten!$A$10:$S$99,U$17,0))))</f>
        <v/>
      </c>
      <c r="V52" s="398" t="str">
        <f>IF(ISNA(VLOOKUP($B52,Stammdaten!$A$10:$S$99,V$17,0)),"",IF((VLOOKUP($B52,Stammdaten!$A$10:$S$99,V$17,0)=0),"",(VLOOKUP($B52,Stammdaten!$A$10:$S$99,V$17,0))))</f>
        <v/>
      </c>
      <c r="W52" s="399" t="str">
        <f>IF(ISNA(VLOOKUP($B52,Stammdaten!$A$10:$S$99,W$17,0)),"",IF((VLOOKUP($B52,Stammdaten!$A$10:$S$99,W$17,0)=0),"",(VLOOKUP($B52,Stammdaten!$A$10:$S$99,W$17,0))))</f>
        <v/>
      </c>
      <c r="X52" s="400" t="str">
        <f t="shared" si="0"/>
        <v/>
      </c>
      <c r="Y52" s="401" t="str">
        <f>IF(OR(B52=30,B52=31),Ablauf!$D$5,"")</f>
        <v/>
      </c>
      <c r="Z52" s="401" t="str">
        <f>IF(OR(B52=30,B52=31),Ablauf!V52,"")</f>
        <v/>
      </c>
      <c r="AA52" s="401" t="str">
        <f>IF(OR(B52=61,B52=62),Ablauf!$D$7,"")</f>
        <v/>
      </c>
      <c r="AB52" s="401" t="str">
        <f>IF(OR(B52=61,B52=62),Ablauf!V52,"")</f>
        <v/>
      </c>
      <c r="AC52" s="402" t="str">
        <f t="shared" si="1"/>
        <v/>
      </c>
      <c r="AD52" s="403" t="str">
        <f t="shared" si="8"/>
        <v/>
      </c>
      <c r="AE52" s="337"/>
      <c r="AF52" s="503"/>
      <c r="AG52" s="329"/>
      <c r="AH52" s="409"/>
      <c r="AI52" s="508"/>
      <c r="AJ52" s="510"/>
      <c r="AK52" s="509"/>
      <c r="AL52" s="410"/>
      <c r="AM52" s="406">
        <f t="shared" si="9"/>
        <v>0</v>
      </c>
      <c r="AN52" s="406">
        <f t="shared" si="2"/>
        <v>0</v>
      </c>
    </row>
    <row r="53" spans="1:40" ht="18" customHeight="1">
      <c r="A53" s="495">
        <v>34</v>
      </c>
      <c r="B53" s="497"/>
      <c r="C53" s="390" t="str">
        <f>IF(ISNA(VLOOKUP(B53,Stammdaten!$A$10:$S$99,$C$17,0)),"",IF((VLOOKUP(B53,Stammdaten!$A$10:$S$99,$C$17,0)=0),"",(VLOOKUP(B53,Stammdaten!$A$10:$S$99,$C$17,0))))</f>
        <v/>
      </c>
      <c r="D53" s="306"/>
      <c r="E53" s="498" t="str">
        <f t="shared" si="3"/>
        <v/>
      </c>
      <c r="F53" s="499" t="str">
        <f t="shared" si="4"/>
        <v/>
      </c>
      <c r="G53" s="499" t="str">
        <f t="shared" si="5"/>
        <v/>
      </c>
      <c r="H53" s="499" t="str">
        <f t="shared" si="6"/>
        <v/>
      </c>
      <c r="I53" s="391" t="str">
        <f>IF(ISNA(VLOOKUP($B53,Stammdaten!$A$10:$S$99,I$17,0)),"",IF((VLOOKUP($B53,Stammdaten!$A$10:$S$99,I$17,0)=0),"",(VLOOKUP($B53,Stammdaten!$A$10:$S$99,I$17,0))))</f>
        <v/>
      </c>
      <c r="J53" s="392" t="str">
        <f>IF(ISNA(VLOOKUP($B53,Stammdaten!$A$10:$S$99,J$17,0)),"",IF((VLOOKUP($B53,Stammdaten!$A$10:$S$99,J$17,0)=0),"",(VLOOKUP($B53,Stammdaten!$A$10:$S$99,J$17,0))))</f>
        <v/>
      </c>
      <c r="K53" s="393" t="str">
        <f>IF(ISNA(VLOOKUP($B53,Stammdaten!$A$10:$S$99,K$17,0)),"",IF((VLOOKUP($B53,Stammdaten!$A$10:$S$99,K$17,0)=0),"",(VLOOKUP($B53,Stammdaten!$A$10:$S$99,K$17,0))))</f>
        <v/>
      </c>
      <c r="L53" s="394" t="str">
        <f t="shared" si="7"/>
        <v/>
      </c>
      <c r="M53" s="395" t="str">
        <f>IF(ISNA(VLOOKUP($B53,Stammdaten!$A$10:$S$99,M$17,0)),"",IF((VLOOKUP($B53,Stammdaten!$A$10:$S$99,M$17,0)=0),"",(VLOOKUP($B53,Stammdaten!$A$10:$S$99,M$17,0))))</f>
        <v/>
      </c>
      <c r="N53" s="395" t="str">
        <f>IF(ISNA(VLOOKUP($B53,Stammdaten!$A$10:$S$99,M$17,0)),"",VLOOKUP($B53,Stammdaten!$A$10:$S$99,N$17,0)*Fläche)</f>
        <v/>
      </c>
      <c r="O53" s="395" t="str">
        <f>IF(ISNA(VLOOKUP($B53,Stammdaten!$A$10:$S$99,M$17,0)),"",VLOOKUP($B53,Stammdaten!$A$10:$S$99,O$17,0)/1000*$A$3*Fläche)</f>
        <v/>
      </c>
      <c r="P53" s="395" t="str">
        <f t="shared" si="11"/>
        <v/>
      </c>
      <c r="Q53" s="396" t="str">
        <f>IF(ISNA(VLOOKUP($B53,Stammdaten!$A$10:$S$99,Q$17,0)),"",IF((VLOOKUP($B53,Stammdaten!$A$10:$S$99,Q$17,0)=0),"",(VLOOKUP($B53,Stammdaten!$A$10:$S$99,Q$17,0))))</f>
        <v/>
      </c>
      <c r="R53" s="395" t="str">
        <f>IF(ISNA(VLOOKUP($B53,Stammdaten!$A$10:$S$99,R$17,0)),"",IF((VLOOKUP($B53,Stammdaten!$A$10:$S$99,R$17,0)=0),"",(VLOOKUP($B53,Stammdaten!$A$10:$S$99,R$17,0))))</f>
        <v/>
      </c>
      <c r="S53" s="397" t="str">
        <f>IF(ISNA(VLOOKUP($B53,Stammdaten!$A$10:$S$99,S$17,0)),"",IF((VLOOKUP($B53,Stammdaten!$A$10:$S$99,S$17,0)=0),"",(VLOOKUP($B53,Stammdaten!$A$10:$S$99,S$17,0))))</f>
        <v/>
      </c>
      <c r="T53" s="398" t="str">
        <f>IF(ISNA(VLOOKUP($B53,Stammdaten!$A$10:$S$99,T$17,0)),"",IF((VLOOKUP($B53,Stammdaten!$A$10:$S$99,T$17,0)=0),"",(VLOOKUP($B53,Stammdaten!$A$10:$S$99,T$17,0))))</f>
        <v/>
      </c>
      <c r="U53" s="398" t="str">
        <f>IF(ISNA(VLOOKUP($B53,Stammdaten!$A$10:$S$99,U$17,0)),"",IF((VLOOKUP($B53,Stammdaten!$A$10:$S$99,U$17,0)=0),"",(VLOOKUP($B53,Stammdaten!$A$10:$S$99,U$17,0))))</f>
        <v/>
      </c>
      <c r="V53" s="398" t="str">
        <f>IF(ISNA(VLOOKUP($B53,Stammdaten!$A$10:$S$99,V$17,0)),"",IF((VLOOKUP($B53,Stammdaten!$A$10:$S$99,V$17,0)=0),"",(VLOOKUP($B53,Stammdaten!$A$10:$S$99,V$17,0))))</f>
        <v/>
      </c>
      <c r="W53" s="399" t="str">
        <f>IF(ISNA(VLOOKUP($B53,Stammdaten!$A$10:$S$99,W$17,0)),"",IF((VLOOKUP($B53,Stammdaten!$A$10:$S$99,W$17,0)=0),"",(VLOOKUP($B53,Stammdaten!$A$10:$S$99,W$17,0))))</f>
        <v/>
      </c>
      <c r="X53" s="400" t="str">
        <f t="shared" si="0"/>
        <v/>
      </c>
      <c r="Y53" s="401" t="str">
        <f>IF(OR(B53=30,B53=31),Ablauf!$D$5,"")</f>
        <v/>
      </c>
      <c r="Z53" s="401" t="str">
        <f>IF(OR(B53=30,B53=31),Ablauf!V53,"")</f>
        <v/>
      </c>
      <c r="AA53" s="401" t="str">
        <f>IF(OR(B53=61,B53=62),Ablauf!$D$7,"")</f>
        <v/>
      </c>
      <c r="AB53" s="401" t="str">
        <f>IF(OR(B53=61,B53=62),Ablauf!V53,"")</f>
        <v/>
      </c>
      <c r="AC53" s="402" t="str">
        <f t="shared" si="1"/>
        <v/>
      </c>
      <c r="AD53" s="403" t="str">
        <f t="shared" si="8"/>
        <v/>
      </c>
      <c r="AE53" s="337"/>
      <c r="AF53" s="501">
        <v>80</v>
      </c>
      <c r="AG53" s="405" t="str">
        <f>IF(ISNA(VLOOKUP(AF53,Stammdaten!$A$10:$S$99,$C$17,0)),"",IF((VLOOKUP(AF53,Stammdaten!$A$10:$S$99,$C$17,0)=0),"",(VLOOKUP(AF53,Stammdaten!$A$10:$S$99,$C$17,0))))</f>
        <v xml:space="preserve">Beschneiden </v>
      </c>
      <c r="AH53" s="409"/>
      <c r="AI53" s="508"/>
      <c r="AJ53" s="510"/>
      <c r="AK53" s="509"/>
      <c r="AL53" s="410"/>
      <c r="AM53" s="406">
        <f t="shared" si="9"/>
        <v>1</v>
      </c>
      <c r="AN53" s="406">
        <f t="shared" si="2"/>
        <v>0</v>
      </c>
    </row>
    <row r="54" spans="1:40" ht="18" customHeight="1">
      <c r="A54" s="495">
        <v>35</v>
      </c>
      <c r="B54" s="497"/>
      <c r="C54" s="390" t="str">
        <f>IF(ISNA(VLOOKUP(B54,Stammdaten!$A$10:$S$99,$C$17,0)),"",IF((VLOOKUP(B54,Stammdaten!$A$10:$S$99,$C$17,0)=0),"",(VLOOKUP(B54,Stammdaten!$A$10:$S$99,$C$17,0))))</f>
        <v/>
      </c>
      <c r="D54" s="306"/>
      <c r="E54" s="498" t="str">
        <f t="shared" si="3"/>
        <v/>
      </c>
      <c r="F54" s="499" t="str">
        <f t="shared" si="4"/>
        <v/>
      </c>
      <c r="G54" s="499" t="str">
        <f t="shared" si="5"/>
        <v/>
      </c>
      <c r="H54" s="499" t="str">
        <f t="shared" si="6"/>
        <v/>
      </c>
      <c r="I54" s="391" t="str">
        <f>IF(ISNA(VLOOKUP($B54,Stammdaten!$A$10:$S$99,I$17,0)),"",IF((VLOOKUP($B54,Stammdaten!$A$10:$S$99,I$17,0)=0),"",(VLOOKUP($B54,Stammdaten!$A$10:$S$99,I$17,0))))</f>
        <v/>
      </c>
      <c r="J54" s="392" t="str">
        <f>IF(ISNA(VLOOKUP($B54,Stammdaten!$A$10:$S$99,J$17,0)),"",IF((VLOOKUP($B54,Stammdaten!$A$10:$S$99,J$17,0)=0),"",(VLOOKUP($B54,Stammdaten!$A$10:$S$99,J$17,0))))</f>
        <v/>
      </c>
      <c r="K54" s="393" t="str">
        <f>IF(ISNA(VLOOKUP($B54,Stammdaten!$A$10:$S$99,K$17,0)),"",IF((VLOOKUP($B54,Stammdaten!$A$10:$S$99,K$17,0)=0),"",(VLOOKUP($B54,Stammdaten!$A$10:$S$99,K$17,0))))</f>
        <v/>
      </c>
      <c r="L54" s="394" t="str">
        <f t="shared" si="7"/>
        <v/>
      </c>
      <c r="M54" s="395" t="str">
        <f>IF(ISNA(VLOOKUP($B54,Stammdaten!$A$10:$S$99,M$17,0)),"",IF((VLOOKUP($B54,Stammdaten!$A$10:$S$99,M$17,0)=0),"",(VLOOKUP($B54,Stammdaten!$A$10:$S$99,M$17,0))))</f>
        <v/>
      </c>
      <c r="N54" s="395" t="str">
        <f>IF(ISNA(VLOOKUP($B54,Stammdaten!$A$10:$S$99,M$17,0)),"",VLOOKUP($B54,Stammdaten!$A$10:$S$99,N$17,0)*Fläche)</f>
        <v/>
      </c>
      <c r="O54" s="395" t="str">
        <f>IF(ISNA(VLOOKUP($B54,Stammdaten!$A$10:$S$99,M$17,0)),"",VLOOKUP($B54,Stammdaten!$A$10:$S$99,O$17,0)/1000*$A$3*Fläche)</f>
        <v/>
      </c>
      <c r="P54" s="395" t="str">
        <f t="shared" si="11"/>
        <v/>
      </c>
      <c r="Q54" s="396" t="str">
        <f>IF(ISNA(VLOOKUP($B54,Stammdaten!$A$10:$S$99,Q$17,0)),"",IF((VLOOKUP($B54,Stammdaten!$A$10:$S$99,Q$17,0)=0),"",(VLOOKUP($B54,Stammdaten!$A$10:$S$99,Q$17,0))))</f>
        <v/>
      </c>
      <c r="R54" s="395" t="str">
        <f>IF(ISNA(VLOOKUP($B54,Stammdaten!$A$10:$S$99,R$17,0)),"",IF((VLOOKUP($B54,Stammdaten!$A$10:$S$99,R$17,0)=0),"",(VLOOKUP($B54,Stammdaten!$A$10:$S$99,R$17,0))))</f>
        <v/>
      </c>
      <c r="S54" s="397" t="str">
        <f>IF(ISNA(VLOOKUP($B54,Stammdaten!$A$10:$S$99,S$17,0)),"",IF((VLOOKUP($B54,Stammdaten!$A$10:$S$99,S$17,0)=0),"",(VLOOKUP($B54,Stammdaten!$A$10:$S$99,S$17,0))))</f>
        <v/>
      </c>
      <c r="T54" s="398" t="str">
        <f>IF(ISNA(VLOOKUP($B54,Stammdaten!$A$10:$S$99,T$17,0)),"",IF((VLOOKUP($B54,Stammdaten!$A$10:$S$99,T$17,0)=0),"",(VLOOKUP($B54,Stammdaten!$A$10:$S$99,T$17,0))))</f>
        <v/>
      </c>
      <c r="U54" s="398" t="str">
        <f>IF(ISNA(VLOOKUP($B54,Stammdaten!$A$10:$S$99,U$17,0)),"",IF((VLOOKUP($B54,Stammdaten!$A$10:$S$99,U$17,0)=0),"",(VLOOKUP($B54,Stammdaten!$A$10:$S$99,U$17,0))))</f>
        <v/>
      </c>
      <c r="V54" s="398" t="str">
        <f>IF(ISNA(VLOOKUP($B54,Stammdaten!$A$10:$S$99,V$17,0)),"",IF((VLOOKUP($B54,Stammdaten!$A$10:$S$99,V$17,0)=0),"",(VLOOKUP($B54,Stammdaten!$A$10:$S$99,V$17,0))))</f>
        <v/>
      </c>
      <c r="W54" s="399" t="str">
        <f>IF(ISNA(VLOOKUP($B54,Stammdaten!$A$10:$S$99,W$17,0)),"",IF((VLOOKUP($B54,Stammdaten!$A$10:$S$99,W$17,0)=0),"",(VLOOKUP($B54,Stammdaten!$A$10:$S$99,W$17,0))))</f>
        <v/>
      </c>
      <c r="X54" s="400" t="str">
        <f t="shared" si="0"/>
        <v/>
      </c>
      <c r="Y54" s="401" t="str">
        <f>IF(OR(B54=30,B54=31),Ablauf!$D$5,"")</f>
        <v/>
      </c>
      <c r="Z54" s="401" t="str">
        <f>IF(OR(B54=30,B54=31),Ablauf!V54,"")</f>
        <v/>
      </c>
      <c r="AA54" s="401" t="str">
        <f>IF(OR(B54=61,B54=62),Ablauf!$D$7,"")</f>
        <v/>
      </c>
      <c r="AB54" s="401" t="str">
        <f>IF(OR(B54=61,B54=62),Ablauf!V54,"")</f>
        <v/>
      </c>
      <c r="AC54" s="402" t="str">
        <f t="shared" si="1"/>
        <v/>
      </c>
      <c r="AD54" s="403" t="str">
        <f t="shared" si="8"/>
        <v/>
      </c>
      <c r="AE54" s="337"/>
      <c r="AF54" s="501">
        <v>81</v>
      </c>
      <c r="AG54" s="405" t="str">
        <f>IF(ISNA(VLOOKUP(AF54,Stammdaten!$A$10:$S$99,$C$17,0)),"",IF((VLOOKUP(AF54,Stammdaten!$A$10:$S$99,$C$17,0)=0),"",(VLOOKUP(AF54,Stammdaten!$A$10:$S$99,$C$17,0))))</f>
        <v>Montage Composite Teile</v>
      </c>
      <c r="AH54" s="409"/>
      <c r="AI54" s="508"/>
      <c r="AJ54" s="510"/>
      <c r="AK54" s="509"/>
      <c r="AL54" s="410"/>
      <c r="AM54" s="406">
        <f t="shared" si="9"/>
        <v>0</v>
      </c>
      <c r="AN54" s="406">
        <f t="shared" si="2"/>
        <v>0</v>
      </c>
    </row>
    <row r="55" spans="1:40" ht="18" customHeight="1">
      <c r="A55" s="495">
        <v>36</v>
      </c>
      <c r="B55" s="497"/>
      <c r="C55" s="390" t="str">
        <f>IF(ISNA(VLOOKUP(B55,Stammdaten!$A$10:$S$99,$C$17,0)),"",IF((VLOOKUP(B55,Stammdaten!$A$10:$S$99,$C$17,0)=0),"",(VLOOKUP(B55,Stammdaten!$A$10:$S$99,$C$17,0))))</f>
        <v/>
      </c>
      <c r="D55" s="306"/>
      <c r="E55" s="498" t="str">
        <f t="shared" si="3"/>
        <v/>
      </c>
      <c r="F55" s="499" t="str">
        <f t="shared" si="4"/>
        <v/>
      </c>
      <c r="G55" s="499" t="str">
        <f t="shared" si="5"/>
        <v/>
      </c>
      <c r="H55" s="499" t="str">
        <f t="shared" si="6"/>
        <v/>
      </c>
      <c r="I55" s="391" t="str">
        <f>IF(ISNA(VLOOKUP($B55,Stammdaten!$A$10:$S$99,I$17,0)),"",IF((VLOOKUP($B55,Stammdaten!$A$10:$S$99,I$17,0)=0),"",(VLOOKUP($B55,Stammdaten!$A$10:$S$99,I$17,0))))</f>
        <v/>
      </c>
      <c r="J55" s="392" t="str">
        <f>IF(ISNA(VLOOKUP($B55,Stammdaten!$A$10:$S$99,J$17,0)),"",IF((VLOOKUP($B55,Stammdaten!$A$10:$S$99,J$17,0)=0),"",(VLOOKUP($B55,Stammdaten!$A$10:$S$99,J$17,0))))</f>
        <v/>
      </c>
      <c r="K55" s="393" t="str">
        <f>IF(ISNA(VLOOKUP($B55,Stammdaten!$A$10:$S$99,K$17,0)),"",IF((VLOOKUP($B55,Stammdaten!$A$10:$S$99,K$17,0)=0),"",(VLOOKUP($B55,Stammdaten!$A$10:$S$99,K$17,0))))</f>
        <v/>
      </c>
      <c r="L55" s="394" t="str">
        <f t="shared" si="7"/>
        <v/>
      </c>
      <c r="M55" s="395" t="str">
        <f>IF(ISNA(VLOOKUP($B55,Stammdaten!$A$10:$S$99,M$17,0)),"",IF((VLOOKUP($B55,Stammdaten!$A$10:$S$99,M$17,0)=0),"",(VLOOKUP($B55,Stammdaten!$A$10:$S$99,M$17,0))))</f>
        <v/>
      </c>
      <c r="N55" s="395" t="str">
        <f>IF(ISNA(VLOOKUP($B55,Stammdaten!$A$10:$S$99,M$17,0)),"",VLOOKUP($B55,Stammdaten!$A$10:$S$99,N$17,0)*Fläche)</f>
        <v/>
      </c>
      <c r="O55" s="395" t="str">
        <f>IF(ISNA(VLOOKUP($B55,Stammdaten!$A$10:$S$99,M$17,0)),"",VLOOKUP($B55,Stammdaten!$A$10:$S$99,O$17,0)/1000*$A$3*Fläche)</f>
        <v/>
      </c>
      <c r="P55" s="395" t="str">
        <f t="shared" si="11"/>
        <v/>
      </c>
      <c r="Q55" s="396" t="str">
        <f>IF(ISNA(VLOOKUP($B55,Stammdaten!$A$10:$S$99,Q$17,0)),"",IF((VLOOKUP($B55,Stammdaten!$A$10:$S$99,Q$17,0)=0),"",(VLOOKUP($B55,Stammdaten!$A$10:$S$99,Q$17,0))))</f>
        <v/>
      </c>
      <c r="R55" s="395" t="str">
        <f>IF(ISNA(VLOOKUP($B55,Stammdaten!$A$10:$S$99,R$17,0)),"",IF((VLOOKUP($B55,Stammdaten!$A$10:$S$99,R$17,0)=0),"",(VLOOKUP($B55,Stammdaten!$A$10:$S$99,R$17,0))))</f>
        <v/>
      </c>
      <c r="S55" s="397" t="str">
        <f>IF(ISNA(VLOOKUP($B55,Stammdaten!$A$10:$S$99,S$17,0)),"",IF((VLOOKUP($B55,Stammdaten!$A$10:$S$99,S$17,0)=0),"",(VLOOKUP($B55,Stammdaten!$A$10:$S$99,S$17,0))))</f>
        <v/>
      </c>
      <c r="T55" s="398" t="str">
        <f>IF(ISNA(VLOOKUP($B55,Stammdaten!$A$10:$S$99,T$17,0)),"",IF((VLOOKUP($B55,Stammdaten!$A$10:$S$99,T$17,0)=0),"",(VLOOKUP($B55,Stammdaten!$A$10:$S$99,T$17,0))))</f>
        <v/>
      </c>
      <c r="U55" s="398" t="str">
        <f>IF(ISNA(VLOOKUP($B55,Stammdaten!$A$10:$S$99,U$17,0)),"",IF((VLOOKUP($B55,Stammdaten!$A$10:$S$99,U$17,0)=0),"",(VLOOKUP($B55,Stammdaten!$A$10:$S$99,U$17,0))))</f>
        <v/>
      </c>
      <c r="V55" s="398" t="str">
        <f>IF(ISNA(VLOOKUP($B55,Stammdaten!$A$10:$S$99,V$17,0)),"",IF((VLOOKUP($B55,Stammdaten!$A$10:$S$99,V$17,0)=0),"",(VLOOKUP($B55,Stammdaten!$A$10:$S$99,V$17,0))))</f>
        <v/>
      </c>
      <c r="W55" s="399" t="str">
        <f>IF(ISNA(VLOOKUP($B55,Stammdaten!$A$10:$S$99,W$17,0)),"",IF((VLOOKUP($B55,Stammdaten!$A$10:$S$99,W$17,0)=0),"",(VLOOKUP($B55,Stammdaten!$A$10:$S$99,W$17,0))))</f>
        <v/>
      </c>
      <c r="X55" s="400" t="str">
        <f t="shared" si="0"/>
        <v/>
      </c>
      <c r="Y55" s="401" t="str">
        <f>IF(OR(B55=30,B55=31),Ablauf!$D$5,"")</f>
        <v/>
      </c>
      <c r="Z55" s="401" t="str">
        <f>IF(OR(B55=30,B55=31),Ablauf!V55,"")</f>
        <v/>
      </c>
      <c r="AA55" s="401" t="str">
        <f>IF(OR(B55=61,B55=62),Ablauf!$D$7,"")</f>
        <v/>
      </c>
      <c r="AB55" s="401" t="str">
        <f>IF(OR(B55=61,B55=62),Ablauf!V55,"")</f>
        <v/>
      </c>
      <c r="AC55" s="402" t="str">
        <f t="shared" si="1"/>
        <v/>
      </c>
      <c r="AD55" s="403" t="str">
        <f t="shared" si="8"/>
        <v/>
      </c>
      <c r="AE55" s="337"/>
      <c r="AF55" s="501">
        <v>82</v>
      </c>
      <c r="AG55" s="405" t="str">
        <f>IF(ISNA(VLOOKUP(AF55,Stammdaten!$A$10:$S$99,$C$17,0)),"",IF((VLOOKUP(AF55,Stammdaten!$A$10:$S$99,$C$17,0)=0),"",(VLOOKUP(AF55,Stammdaten!$A$10:$S$99,$C$17,0))))</f>
        <v>Montage Zukaufteile</v>
      </c>
      <c r="AH55" s="409"/>
      <c r="AI55" s="508"/>
      <c r="AJ55" s="510"/>
      <c r="AK55" s="509"/>
      <c r="AL55" s="410"/>
      <c r="AM55" s="406">
        <f t="shared" si="9"/>
        <v>1</v>
      </c>
      <c r="AN55" s="406">
        <f t="shared" si="2"/>
        <v>0</v>
      </c>
    </row>
    <row r="56" spans="1:40" ht="18" customHeight="1">
      <c r="A56" s="495">
        <v>37</v>
      </c>
      <c r="B56" s="497"/>
      <c r="C56" s="390" t="str">
        <f>IF(ISNA(VLOOKUP(B56,Stammdaten!$A$10:$S$99,$C$17,0)),"",IF((VLOOKUP(B56,Stammdaten!$A$10:$S$99,$C$17,0)=0),"",(VLOOKUP(B56,Stammdaten!$A$10:$S$99,$C$17,0))))</f>
        <v/>
      </c>
      <c r="D56" s="306"/>
      <c r="E56" s="498" t="str">
        <f t="shared" si="3"/>
        <v/>
      </c>
      <c r="F56" s="499" t="str">
        <f t="shared" si="4"/>
        <v/>
      </c>
      <c r="G56" s="499" t="str">
        <f t="shared" si="5"/>
        <v/>
      </c>
      <c r="H56" s="499" t="str">
        <f t="shared" si="6"/>
        <v/>
      </c>
      <c r="I56" s="391" t="str">
        <f>IF(ISNA(VLOOKUP($B56,Stammdaten!$A$10:$S$99,I$17,0)),"",IF((VLOOKUP($B56,Stammdaten!$A$10:$S$99,I$17,0)=0),"",(VLOOKUP($B56,Stammdaten!$A$10:$S$99,I$17,0))))</f>
        <v/>
      </c>
      <c r="J56" s="392" t="str">
        <f>IF(ISNA(VLOOKUP($B56,Stammdaten!$A$10:$S$99,J$17,0)),"",IF((VLOOKUP($B56,Stammdaten!$A$10:$S$99,J$17,0)=0),"",(VLOOKUP($B56,Stammdaten!$A$10:$S$99,J$17,0))))</f>
        <v/>
      </c>
      <c r="K56" s="393" t="str">
        <f>IF(ISNA(VLOOKUP($B56,Stammdaten!$A$10:$S$99,K$17,0)),"",IF((VLOOKUP($B56,Stammdaten!$A$10:$S$99,K$17,0)=0),"",(VLOOKUP($B56,Stammdaten!$A$10:$S$99,K$17,0))))</f>
        <v/>
      </c>
      <c r="L56" s="394" t="str">
        <f t="shared" si="7"/>
        <v/>
      </c>
      <c r="M56" s="395" t="str">
        <f>IF(ISNA(VLOOKUP($B56,Stammdaten!$A$10:$S$99,M$17,0)),"",IF((VLOOKUP($B56,Stammdaten!$A$10:$S$99,M$17,0)=0),"",(VLOOKUP($B56,Stammdaten!$A$10:$S$99,M$17,0))))</f>
        <v/>
      </c>
      <c r="N56" s="395" t="str">
        <f>IF(ISNA(VLOOKUP($B56,Stammdaten!$A$10:$S$99,M$17,0)),"",VLOOKUP($B56,Stammdaten!$A$10:$S$99,N$17,0)*Fläche)</f>
        <v/>
      </c>
      <c r="O56" s="395" t="str">
        <f>IF(ISNA(VLOOKUP($B56,Stammdaten!$A$10:$S$99,M$17,0)),"",VLOOKUP($B56,Stammdaten!$A$10:$S$99,O$17,0)/1000*$A$3*Fläche)</f>
        <v/>
      </c>
      <c r="P56" s="395" t="str">
        <f t="shared" si="11"/>
        <v/>
      </c>
      <c r="Q56" s="396" t="str">
        <f>IF(ISNA(VLOOKUP($B56,Stammdaten!$A$10:$S$99,Q$17,0)),"",IF((VLOOKUP($B56,Stammdaten!$A$10:$S$99,Q$17,0)=0),"",(VLOOKUP($B56,Stammdaten!$A$10:$S$99,Q$17,0))))</f>
        <v/>
      </c>
      <c r="R56" s="395" t="str">
        <f>IF(ISNA(VLOOKUP($B56,Stammdaten!$A$10:$S$99,R$17,0)),"",IF((VLOOKUP($B56,Stammdaten!$A$10:$S$99,R$17,0)=0),"",(VLOOKUP($B56,Stammdaten!$A$10:$S$99,R$17,0))))</f>
        <v/>
      </c>
      <c r="S56" s="397" t="str">
        <f>IF(ISNA(VLOOKUP($B56,Stammdaten!$A$10:$S$99,S$17,0)),"",IF((VLOOKUP($B56,Stammdaten!$A$10:$S$99,S$17,0)=0),"",(VLOOKUP($B56,Stammdaten!$A$10:$S$99,S$17,0))))</f>
        <v/>
      </c>
      <c r="T56" s="398" t="str">
        <f>IF(ISNA(VLOOKUP($B56,Stammdaten!$A$10:$S$99,T$17,0)),"",IF((VLOOKUP($B56,Stammdaten!$A$10:$S$99,T$17,0)=0),"",(VLOOKUP($B56,Stammdaten!$A$10:$S$99,T$17,0))))</f>
        <v/>
      </c>
      <c r="U56" s="398" t="str">
        <f>IF(ISNA(VLOOKUP($B56,Stammdaten!$A$10:$S$99,U$17,0)),"",IF((VLOOKUP($B56,Stammdaten!$A$10:$S$99,U$17,0)=0),"",(VLOOKUP($B56,Stammdaten!$A$10:$S$99,U$17,0))))</f>
        <v/>
      </c>
      <c r="V56" s="398" t="str">
        <f>IF(ISNA(VLOOKUP($B56,Stammdaten!$A$10:$S$99,V$17,0)),"",IF((VLOOKUP($B56,Stammdaten!$A$10:$S$99,V$17,0)=0),"",(VLOOKUP($B56,Stammdaten!$A$10:$S$99,V$17,0))))</f>
        <v/>
      </c>
      <c r="W56" s="399" t="str">
        <f>IF(ISNA(VLOOKUP($B56,Stammdaten!$A$10:$S$99,W$17,0)),"",IF((VLOOKUP($B56,Stammdaten!$A$10:$S$99,W$17,0)=0),"",(VLOOKUP($B56,Stammdaten!$A$10:$S$99,W$17,0))))</f>
        <v/>
      </c>
      <c r="X56" s="400" t="str">
        <f t="shared" si="0"/>
        <v/>
      </c>
      <c r="Y56" s="401" t="str">
        <f>IF(OR(B56=30,B56=31),Ablauf!$D$5,"")</f>
        <v/>
      </c>
      <c r="Z56" s="401" t="str">
        <f>IF(OR(B56=30,B56=31),Ablauf!V56,"")</f>
        <v/>
      </c>
      <c r="AA56" s="401" t="str">
        <f>IF(OR(B56=61,B56=62),Ablauf!$D$7,"")</f>
        <v/>
      </c>
      <c r="AB56" s="401" t="str">
        <f>IF(OR(B56=61,B56=62),Ablauf!V56,"")</f>
        <v/>
      </c>
      <c r="AC56" s="402" t="str">
        <f t="shared" si="1"/>
        <v/>
      </c>
      <c r="AD56" s="403" t="str">
        <f t="shared" si="8"/>
        <v/>
      </c>
      <c r="AE56" s="337"/>
      <c r="AF56" s="501">
        <v>83</v>
      </c>
      <c r="AG56" s="405" t="str">
        <f>IF(ISNA(VLOOKUP(AF56,Stammdaten!$A$10:$S$99,$C$17,0)),"",IF((VLOOKUP(AF56,Stammdaten!$A$10:$S$99,$C$17,0)=0),"",(VLOOKUP(AF56,Stammdaten!$A$10:$S$99,$C$17,0))))</f>
        <v>Montage Kundenteile</v>
      </c>
      <c r="AH56" s="409"/>
      <c r="AI56" s="508"/>
      <c r="AJ56" s="510"/>
      <c r="AK56" s="509"/>
      <c r="AL56" s="410"/>
      <c r="AM56" s="406">
        <f t="shared" si="9"/>
        <v>0</v>
      </c>
      <c r="AN56" s="406">
        <f t="shared" si="2"/>
        <v>0</v>
      </c>
    </row>
    <row r="57" spans="1:40" ht="18" customHeight="1">
      <c r="A57" s="495">
        <v>38</v>
      </c>
      <c r="B57" s="497"/>
      <c r="C57" s="390" t="str">
        <f>IF(ISNA(VLOOKUP(B57,Stammdaten!$A$10:$S$99,$C$17,0)),"",IF((VLOOKUP(B57,Stammdaten!$A$10:$S$99,$C$17,0)=0),"",(VLOOKUP(B57,Stammdaten!$A$10:$S$99,$C$17,0))))</f>
        <v/>
      </c>
      <c r="D57" s="306"/>
      <c r="E57" s="498" t="str">
        <f t="shared" si="3"/>
        <v/>
      </c>
      <c r="F57" s="499" t="str">
        <f t="shared" si="4"/>
        <v/>
      </c>
      <c r="G57" s="499" t="str">
        <f t="shared" si="5"/>
        <v/>
      </c>
      <c r="H57" s="499" t="str">
        <f t="shared" si="6"/>
        <v/>
      </c>
      <c r="I57" s="391" t="str">
        <f>IF(ISNA(VLOOKUP($B57,Stammdaten!$A$10:$S$99,I$17,0)),"",IF((VLOOKUP($B57,Stammdaten!$A$10:$S$99,I$17,0)=0),"",(VLOOKUP($B57,Stammdaten!$A$10:$S$99,I$17,0))))</f>
        <v/>
      </c>
      <c r="J57" s="392" t="str">
        <f>IF(ISNA(VLOOKUP($B57,Stammdaten!$A$10:$S$99,J$17,0)),"",IF((VLOOKUP($B57,Stammdaten!$A$10:$S$99,J$17,0)=0),"",(VLOOKUP($B57,Stammdaten!$A$10:$S$99,J$17,0))))</f>
        <v/>
      </c>
      <c r="K57" s="393" t="str">
        <f>IF(ISNA(VLOOKUP($B57,Stammdaten!$A$10:$S$99,K$17,0)),"",IF((VLOOKUP($B57,Stammdaten!$A$10:$S$99,K$17,0)=0),"",(VLOOKUP($B57,Stammdaten!$A$10:$S$99,K$17,0))))</f>
        <v/>
      </c>
      <c r="L57" s="394" t="str">
        <f t="shared" si="7"/>
        <v/>
      </c>
      <c r="M57" s="395" t="str">
        <f>IF(ISNA(VLOOKUP($B57,Stammdaten!$A$10:$S$99,M$17,0)),"",IF((VLOOKUP($B57,Stammdaten!$A$10:$S$99,M$17,0)=0),"",(VLOOKUP($B57,Stammdaten!$A$10:$S$99,M$17,0))))</f>
        <v/>
      </c>
      <c r="N57" s="395" t="str">
        <f>IF(ISNA(VLOOKUP($B57,Stammdaten!$A$10:$S$99,M$17,0)),"",VLOOKUP($B57,Stammdaten!$A$10:$S$99,N$17,0)*Fläche)</f>
        <v/>
      </c>
      <c r="O57" s="395" t="str">
        <f>IF(ISNA(VLOOKUP($B57,Stammdaten!$A$10:$S$99,M$17,0)),"",VLOOKUP($B57,Stammdaten!$A$10:$S$99,O$17,0)/1000*$A$3*Fläche)</f>
        <v/>
      </c>
      <c r="P57" s="395" t="str">
        <f t="shared" si="11"/>
        <v/>
      </c>
      <c r="Q57" s="396" t="str">
        <f>IF(ISNA(VLOOKUP($B57,Stammdaten!$A$10:$S$99,Q$17,0)),"",IF((VLOOKUP($B57,Stammdaten!$A$10:$S$99,Q$17,0)=0),"",(VLOOKUP($B57,Stammdaten!$A$10:$S$99,Q$17,0))))</f>
        <v/>
      </c>
      <c r="R57" s="395" t="str">
        <f>IF(ISNA(VLOOKUP($B57,Stammdaten!$A$10:$S$99,R$17,0)),"",IF((VLOOKUP($B57,Stammdaten!$A$10:$S$99,R$17,0)=0),"",(VLOOKUP($B57,Stammdaten!$A$10:$S$99,R$17,0))))</f>
        <v/>
      </c>
      <c r="S57" s="397" t="str">
        <f>IF(ISNA(VLOOKUP($B57,Stammdaten!$A$10:$S$99,S$17,0)),"",IF((VLOOKUP($B57,Stammdaten!$A$10:$S$99,S$17,0)=0),"",(VLOOKUP($B57,Stammdaten!$A$10:$S$99,S$17,0))))</f>
        <v/>
      </c>
      <c r="T57" s="398" t="str">
        <f>IF(ISNA(VLOOKUP($B57,Stammdaten!$A$10:$S$99,T$17,0)),"",IF((VLOOKUP($B57,Stammdaten!$A$10:$S$99,T$17,0)=0),"",(VLOOKUP($B57,Stammdaten!$A$10:$S$99,T$17,0))))</f>
        <v/>
      </c>
      <c r="U57" s="398" t="str">
        <f>IF(ISNA(VLOOKUP($B57,Stammdaten!$A$10:$S$99,U$17,0)),"",IF((VLOOKUP($B57,Stammdaten!$A$10:$S$99,U$17,0)=0),"",(VLOOKUP($B57,Stammdaten!$A$10:$S$99,U$17,0))))</f>
        <v/>
      </c>
      <c r="V57" s="398" t="str">
        <f>IF(ISNA(VLOOKUP($B57,Stammdaten!$A$10:$S$99,V$17,0)),"",IF((VLOOKUP($B57,Stammdaten!$A$10:$S$99,V$17,0)=0),"",(VLOOKUP($B57,Stammdaten!$A$10:$S$99,V$17,0))))</f>
        <v/>
      </c>
      <c r="W57" s="399" t="str">
        <f>IF(ISNA(VLOOKUP($B57,Stammdaten!$A$10:$S$99,W$17,0)),"",IF((VLOOKUP($B57,Stammdaten!$A$10:$S$99,W$17,0)=0),"",(VLOOKUP($B57,Stammdaten!$A$10:$S$99,W$17,0))))</f>
        <v/>
      </c>
      <c r="X57" s="400" t="str">
        <f t="shared" si="0"/>
        <v/>
      </c>
      <c r="Y57" s="401" t="str">
        <f>IF(OR(B57=30,B57=31),Ablauf!$D$5,"")</f>
        <v/>
      </c>
      <c r="Z57" s="401" t="str">
        <f>IF(OR(B57=30,B57=31),Ablauf!V57,"")</f>
        <v/>
      </c>
      <c r="AA57" s="401" t="str">
        <f>IF(OR(B57=61,B57=62),Ablauf!$D$7,"")</f>
        <v/>
      </c>
      <c r="AB57" s="401" t="str">
        <f>IF(OR(B57=61,B57=62),Ablauf!V57,"")</f>
        <v/>
      </c>
      <c r="AC57" s="402" t="str">
        <f t="shared" si="1"/>
        <v/>
      </c>
      <c r="AD57" s="403" t="str">
        <f t="shared" si="8"/>
        <v/>
      </c>
      <c r="AE57" s="337"/>
      <c r="AF57" s="503"/>
      <c r="AG57" s="329"/>
      <c r="AH57" s="409"/>
      <c r="AI57" s="508"/>
      <c r="AJ57" s="510"/>
      <c r="AK57" s="509"/>
      <c r="AL57" s="410"/>
      <c r="AM57" s="406">
        <f t="shared" si="9"/>
        <v>0</v>
      </c>
      <c r="AN57" s="406">
        <f t="shared" si="2"/>
        <v>0</v>
      </c>
    </row>
    <row r="58" spans="1:40" ht="18" customHeight="1">
      <c r="A58" s="495">
        <v>39</v>
      </c>
      <c r="B58" s="497"/>
      <c r="C58" s="390" t="str">
        <f>IF(ISNA(VLOOKUP(B58,Stammdaten!$A$10:$S$99,$C$17,0)),"",IF((VLOOKUP(B58,Stammdaten!$A$10:$S$99,$C$17,0)=0),"",(VLOOKUP(B58,Stammdaten!$A$10:$S$99,$C$17,0))))</f>
        <v/>
      </c>
      <c r="D58" s="306"/>
      <c r="E58" s="498" t="str">
        <f t="shared" si="3"/>
        <v/>
      </c>
      <c r="F58" s="499" t="str">
        <f t="shared" si="4"/>
        <v/>
      </c>
      <c r="G58" s="499" t="str">
        <f t="shared" si="5"/>
        <v/>
      </c>
      <c r="H58" s="499" t="str">
        <f t="shared" si="6"/>
        <v/>
      </c>
      <c r="I58" s="391" t="str">
        <f>IF(ISNA(VLOOKUP($B58,Stammdaten!$A$10:$S$99,I$17,0)),"",IF((VLOOKUP($B58,Stammdaten!$A$10:$S$99,I$17,0)=0),"",(VLOOKUP($B58,Stammdaten!$A$10:$S$99,I$17,0))))</f>
        <v/>
      </c>
      <c r="J58" s="392" t="str">
        <f>IF(ISNA(VLOOKUP($B58,Stammdaten!$A$10:$S$99,J$17,0)),"",IF((VLOOKUP($B58,Stammdaten!$A$10:$S$99,J$17,0)=0),"",(VLOOKUP($B58,Stammdaten!$A$10:$S$99,J$17,0))))</f>
        <v/>
      </c>
      <c r="K58" s="393" t="str">
        <f>IF(ISNA(VLOOKUP($B58,Stammdaten!$A$10:$S$99,K$17,0)),"",IF((VLOOKUP($B58,Stammdaten!$A$10:$S$99,K$17,0)=0),"",(VLOOKUP($B58,Stammdaten!$A$10:$S$99,K$17,0))))</f>
        <v/>
      </c>
      <c r="L58" s="394" t="str">
        <f t="shared" si="7"/>
        <v/>
      </c>
      <c r="M58" s="395" t="str">
        <f>IF(ISNA(VLOOKUP($B58,Stammdaten!$A$10:$S$99,M$17,0)),"",IF((VLOOKUP($B58,Stammdaten!$A$10:$S$99,M$17,0)=0),"",(VLOOKUP($B58,Stammdaten!$A$10:$S$99,M$17,0))))</f>
        <v/>
      </c>
      <c r="N58" s="395" t="str">
        <f>IF(ISNA(VLOOKUP($B58,Stammdaten!$A$10:$S$99,M$17,0)),"",VLOOKUP($B58,Stammdaten!$A$10:$S$99,N$17,0)*Fläche)</f>
        <v/>
      </c>
      <c r="O58" s="395" t="str">
        <f>IF(ISNA(VLOOKUP($B58,Stammdaten!$A$10:$S$99,M$17,0)),"",VLOOKUP($B58,Stammdaten!$A$10:$S$99,O$17,0)/1000*$A$3*Fläche)</f>
        <v/>
      </c>
      <c r="P58" s="395" t="str">
        <f t="shared" si="11"/>
        <v/>
      </c>
      <c r="Q58" s="396" t="str">
        <f>IF(ISNA(VLOOKUP($B58,Stammdaten!$A$10:$S$99,Q$17,0)),"",IF((VLOOKUP($B58,Stammdaten!$A$10:$S$99,Q$17,0)=0),"",(VLOOKUP($B58,Stammdaten!$A$10:$S$99,Q$17,0))))</f>
        <v/>
      </c>
      <c r="R58" s="395" t="str">
        <f>IF(ISNA(VLOOKUP($B58,Stammdaten!$A$10:$S$99,R$17,0)),"",IF((VLOOKUP($B58,Stammdaten!$A$10:$S$99,R$17,0)=0),"",(VLOOKUP($B58,Stammdaten!$A$10:$S$99,R$17,0))))</f>
        <v/>
      </c>
      <c r="S58" s="397" t="str">
        <f>IF(ISNA(VLOOKUP($B58,Stammdaten!$A$10:$S$99,S$17,0)),"",IF((VLOOKUP($B58,Stammdaten!$A$10:$S$99,S$17,0)=0),"",(VLOOKUP($B58,Stammdaten!$A$10:$S$99,S$17,0))))</f>
        <v/>
      </c>
      <c r="T58" s="398" t="str">
        <f>IF(ISNA(VLOOKUP($B58,Stammdaten!$A$10:$S$99,T$17,0)),"",IF((VLOOKUP($B58,Stammdaten!$A$10:$S$99,T$17,0)=0),"",(VLOOKUP($B58,Stammdaten!$A$10:$S$99,T$17,0))))</f>
        <v/>
      </c>
      <c r="U58" s="398" t="str">
        <f>IF(ISNA(VLOOKUP($B58,Stammdaten!$A$10:$S$99,U$17,0)),"",IF((VLOOKUP($B58,Stammdaten!$A$10:$S$99,U$17,0)=0),"",(VLOOKUP($B58,Stammdaten!$A$10:$S$99,U$17,0))))</f>
        <v/>
      </c>
      <c r="V58" s="398" t="str">
        <f>IF(ISNA(VLOOKUP($B58,Stammdaten!$A$10:$S$99,V$17,0)),"",IF((VLOOKUP($B58,Stammdaten!$A$10:$S$99,V$17,0)=0),"",(VLOOKUP($B58,Stammdaten!$A$10:$S$99,V$17,0))))</f>
        <v/>
      </c>
      <c r="W58" s="399" t="str">
        <f>IF(ISNA(VLOOKUP($B58,Stammdaten!$A$10:$S$99,W$17,0)),"",IF((VLOOKUP($B58,Stammdaten!$A$10:$S$99,W$17,0)=0),"",(VLOOKUP($B58,Stammdaten!$A$10:$S$99,W$17,0))))</f>
        <v/>
      </c>
      <c r="X58" s="400" t="str">
        <f t="shared" si="0"/>
        <v/>
      </c>
      <c r="Y58" s="401" t="str">
        <f>IF(OR(B58=30,B58=31),Ablauf!$D$5,"")</f>
        <v/>
      </c>
      <c r="Z58" s="401" t="str">
        <f>IF(OR(B58=30,B58=31),Ablauf!V58,"")</f>
        <v/>
      </c>
      <c r="AA58" s="401" t="str">
        <f>IF(OR(B58=61,B58=62),Ablauf!$D$7,"")</f>
        <v/>
      </c>
      <c r="AB58" s="401" t="str">
        <f>IF(OR(B58=61,B58=62),Ablauf!V58,"")</f>
        <v/>
      </c>
      <c r="AC58" s="402" t="str">
        <f t="shared" si="1"/>
        <v/>
      </c>
      <c r="AD58" s="403" t="str">
        <f t="shared" si="8"/>
        <v/>
      </c>
      <c r="AF58" s="501">
        <v>90</v>
      </c>
      <c r="AG58" s="405" t="str">
        <f>IF(ISNA(VLOOKUP(AF58,Stammdaten!$A$10:$S$99,$C$17,0)),"",IF((VLOOKUP(AF58,Stammdaten!$A$10:$S$99,$C$17,0)=0),"",(VLOOKUP(AF58,Stammdaten!$A$10:$S$99,$C$17,0))))</f>
        <v>Qualitätsprüfung</v>
      </c>
      <c r="AH58" s="409"/>
      <c r="AI58" s="508"/>
      <c r="AJ58" s="510"/>
      <c r="AK58" s="509"/>
      <c r="AL58" s="410"/>
      <c r="AM58" s="406">
        <f t="shared" si="9"/>
        <v>1</v>
      </c>
      <c r="AN58" s="406">
        <f t="shared" si="2"/>
        <v>0</v>
      </c>
    </row>
    <row r="59" spans="1:40" ht="18" customHeight="1" thickBot="1">
      <c r="A59" s="495">
        <v>40</v>
      </c>
      <c r="B59" s="497"/>
      <c r="C59" s="390" t="str">
        <f>IF(ISNA(VLOOKUP(B59,Stammdaten!$A$10:$S$99,$C$17,0)),"",IF((VLOOKUP(B59,Stammdaten!$A$10:$S$99,$C$17,0)=0),"",(VLOOKUP(B59,Stammdaten!$A$10:$S$99,$C$17,0))))</f>
        <v/>
      </c>
      <c r="D59" s="306"/>
      <c r="E59" s="498" t="str">
        <f t="shared" si="3"/>
        <v/>
      </c>
      <c r="F59" s="499" t="str">
        <f t="shared" si="4"/>
        <v/>
      </c>
      <c r="G59" s="499" t="str">
        <f t="shared" si="5"/>
        <v/>
      </c>
      <c r="H59" s="499" t="str">
        <f t="shared" si="6"/>
        <v/>
      </c>
      <c r="I59" s="391" t="str">
        <f>IF(ISNA(VLOOKUP($B59,Stammdaten!$A$10:$S$99,I$17,0)),"",IF((VLOOKUP($B59,Stammdaten!$A$10:$S$99,I$17,0)=0),"",(VLOOKUP($B59,Stammdaten!$A$10:$S$99,I$17,0))))</f>
        <v/>
      </c>
      <c r="J59" s="392" t="str">
        <f>IF(ISNA(VLOOKUP($B59,Stammdaten!$A$10:$S$99,J$17,0)),"",IF((VLOOKUP($B59,Stammdaten!$A$10:$S$99,J$17,0)=0),"",(VLOOKUP($B59,Stammdaten!$A$10:$S$99,J$17,0))))</f>
        <v/>
      </c>
      <c r="K59" s="393" t="str">
        <f>IF(ISNA(VLOOKUP($B59,Stammdaten!$A$10:$S$99,K$17,0)),"",IF((VLOOKUP($B59,Stammdaten!$A$10:$S$99,K$17,0)=0),"",(VLOOKUP($B59,Stammdaten!$A$10:$S$99,K$17,0))))</f>
        <v/>
      </c>
      <c r="L59" s="394" t="str">
        <f t="shared" si="7"/>
        <v/>
      </c>
      <c r="M59" s="395" t="str">
        <f>IF(ISNA(VLOOKUP($B59,Stammdaten!$A$10:$S$99,M$17,0)),"",IF((VLOOKUP($B59,Stammdaten!$A$10:$S$99,M$17,0)=0),"",(VLOOKUP($B59,Stammdaten!$A$10:$S$99,M$17,0))))</f>
        <v/>
      </c>
      <c r="N59" s="395" t="str">
        <f>IF(ISNA(VLOOKUP($B59,Stammdaten!$A$10:$S$99,M$17,0)),"",VLOOKUP($B59,Stammdaten!$A$10:$S$99,N$17,0)*Fläche)</f>
        <v/>
      </c>
      <c r="O59" s="395" t="str">
        <f>IF(ISNA(VLOOKUP($B59,Stammdaten!$A$10:$S$99,M$17,0)),"",VLOOKUP($B59,Stammdaten!$A$10:$S$99,O$17,0)/1000*$A$3*Fläche)</f>
        <v/>
      </c>
      <c r="P59" s="395" t="str">
        <f t="shared" si="11"/>
        <v/>
      </c>
      <c r="Q59" s="396" t="str">
        <f>IF(ISNA(VLOOKUP($B59,Stammdaten!$A$10:$S$99,Q$17,0)),"",IF((VLOOKUP($B59,Stammdaten!$A$10:$S$99,Q$17,0)=0),"",(VLOOKUP($B59,Stammdaten!$A$10:$S$99,Q$17,0))))</f>
        <v/>
      </c>
      <c r="R59" s="395" t="str">
        <f>IF(ISNA(VLOOKUP($B59,Stammdaten!$A$10:$S$99,R$17,0)),"",IF((VLOOKUP($B59,Stammdaten!$A$10:$S$99,R$17,0)=0),"",(VLOOKUP($B59,Stammdaten!$A$10:$S$99,R$17,0))))</f>
        <v/>
      </c>
      <c r="S59" s="397" t="str">
        <f>IF(ISNA(VLOOKUP($B59,Stammdaten!$A$10:$S$99,S$17,0)),"",IF((VLOOKUP($B59,Stammdaten!$A$10:$S$99,S$17,0)=0),"",(VLOOKUP($B59,Stammdaten!$A$10:$S$99,S$17,0))))</f>
        <v/>
      </c>
      <c r="T59" s="398" t="str">
        <f>IF(ISNA(VLOOKUP($B59,Stammdaten!$A$10:$S$99,T$17,0)),"",IF((VLOOKUP($B59,Stammdaten!$A$10:$S$99,T$17,0)=0),"",(VLOOKUP($B59,Stammdaten!$A$10:$S$99,T$17,0))))</f>
        <v/>
      </c>
      <c r="U59" s="398" t="str">
        <f>IF(ISNA(VLOOKUP($B59,Stammdaten!$A$10:$S$99,U$17,0)),"",IF((VLOOKUP($B59,Stammdaten!$A$10:$S$99,U$17,0)=0),"",(VLOOKUP($B59,Stammdaten!$A$10:$S$99,U$17,0))))</f>
        <v/>
      </c>
      <c r="V59" s="398" t="str">
        <f>IF(ISNA(VLOOKUP($B59,Stammdaten!$A$10:$S$99,V$17,0)),"",IF((VLOOKUP($B59,Stammdaten!$A$10:$S$99,V$17,0)=0),"",(VLOOKUP($B59,Stammdaten!$A$10:$S$99,V$17,0))))</f>
        <v/>
      </c>
      <c r="W59" s="399" t="str">
        <f>IF(ISNA(VLOOKUP($B59,Stammdaten!$A$10:$S$99,W$17,0)),"",IF((VLOOKUP($B59,Stammdaten!$A$10:$S$99,W$17,0)=0),"",(VLOOKUP($B59,Stammdaten!$A$10:$S$99,W$17,0))))</f>
        <v/>
      </c>
      <c r="X59" s="400" t="str">
        <f t="shared" si="0"/>
        <v/>
      </c>
      <c r="Y59" s="401" t="str">
        <f>IF(OR(B59=30,B59=31),Ablauf!$D$5,"")</f>
        <v/>
      </c>
      <c r="Z59" s="401" t="str">
        <f>IF(OR(B59=30,B59=31),Ablauf!V59,"")</f>
        <v/>
      </c>
      <c r="AA59" s="401" t="str">
        <f>IF(OR(B59=61,B59=62),Ablauf!$D$7,"")</f>
        <v/>
      </c>
      <c r="AB59" s="401" t="str">
        <f>IF(OR(B59=61,B59=62),Ablauf!V59,"")</f>
        <v/>
      </c>
      <c r="AC59" s="402" t="str">
        <f t="shared" si="1"/>
        <v/>
      </c>
      <c r="AD59" s="403" t="str">
        <f t="shared" si="8"/>
        <v/>
      </c>
      <c r="AF59" s="504">
        <v>91</v>
      </c>
      <c r="AG59" s="411" t="str">
        <f>IF(ISNA(VLOOKUP(AF59,Stammdaten!$A$10:$S$99,$C$17,0)),"",IF((VLOOKUP(AF59,Stammdaten!$A$10:$S$99,$C$17,0)=0),"",(VLOOKUP(AF59,Stammdaten!$A$10:$S$99,$C$17,0))))</f>
        <v>Versand Vorbereitung</v>
      </c>
      <c r="AH59" s="409"/>
      <c r="AI59" s="512"/>
      <c r="AJ59" s="513"/>
      <c r="AK59" s="514"/>
      <c r="AL59" s="410"/>
      <c r="AM59" s="406">
        <f t="shared" si="9"/>
        <v>1</v>
      </c>
      <c r="AN59" s="406">
        <f t="shared" si="2"/>
        <v>0</v>
      </c>
    </row>
    <row r="60" spans="1:40">
      <c r="AF60" s="410"/>
      <c r="AG60" s="410"/>
      <c r="AH60" s="410"/>
      <c r="AI60" s="412"/>
      <c r="AJ60" s="412"/>
      <c r="AK60" s="410"/>
      <c r="AL60" s="410"/>
    </row>
    <row r="61" spans="1:40" s="583" customFormat="1" ht="15">
      <c r="A61" s="658" t="s">
        <v>523</v>
      </c>
      <c r="B61" s="659"/>
      <c r="C61" s="659"/>
      <c r="D61" s="659"/>
      <c r="E61" s="659"/>
      <c r="F61" s="659"/>
      <c r="G61" s="659"/>
      <c r="H61" s="660"/>
      <c r="I61" s="587"/>
      <c r="J61" s="588"/>
      <c r="W61" s="584"/>
      <c r="X61" s="585"/>
      <c r="Y61" s="585"/>
      <c r="Z61" s="585"/>
      <c r="AA61" s="585"/>
      <c r="AB61" s="585"/>
      <c r="AC61" s="585"/>
      <c r="AD61" s="586"/>
      <c r="AF61" s="410"/>
      <c r="AG61" s="410"/>
      <c r="AH61" s="410"/>
      <c r="AI61" s="412"/>
      <c r="AJ61" s="412"/>
      <c r="AK61" s="410"/>
      <c r="AL61" s="410"/>
    </row>
    <row r="62" spans="1:40" s="583" customFormat="1" ht="16.5" customHeight="1">
      <c r="A62" s="664"/>
      <c r="B62" s="665"/>
      <c r="C62" s="665"/>
      <c r="D62" s="665"/>
      <c r="E62" s="665"/>
      <c r="F62" s="665"/>
      <c r="G62" s="665"/>
      <c r="H62" s="666"/>
      <c r="I62" s="587"/>
      <c r="J62" s="588"/>
      <c r="W62" s="584"/>
      <c r="X62" s="585"/>
      <c r="Y62" s="585"/>
      <c r="Z62" s="585"/>
      <c r="AA62" s="585"/>
      <c r="AB62" s="585"/>
      <c r="AC62" s="585"/>
      <c r="AD62" s="586"/>
      <c r="AF62" s="410"/>
      <c r="AG62" s="410"/>
      <c r="AH62" s="410"/>
      <c r="AI62" s="412"/>
      <c r="AJ62" s="412"/>
      <c r="AK62" s="410"/>
      <c r="AL62" s="410"/>
    </row>
    <row r="63" spans="1:40" s="583" customFormat="1" ht="16.5" customHeight="1">
      <c r="A63" s="664"/>
      <c r="B63" s="665"/>
      <c r="C63" s="665"/>
      <c r="D63" s="665"/>
      <c r="E63" s="665"/>
      <c r="F63" s="665"/>
      <c r="G63" s="665"/>
      <c r="H63" s="666"/>
      <c r="I63" s="587"/>
      <c r="J63" s="588"/>
      <c r="W63" s="584"/>
      <c r="X63" s="585"/>
      <c r="Y63" s="585"/>
      <c r="Z63" s="585"/>
      <c r="AA63" s="585"/>
      <c r="AB63" s="585"/>
      <c r="AC63" s="585"/>
      <c r="AD63" s="586"/>
      <c r="AF63" s="410"/>
      <c r="AG63" s="410"/>
      <c r="AH63" s="410"/>
      <c r="AI63" s="412"/>
      <c r="AJ63" s="412"/>
      <c r="AK63" s="410"/>
      <c r="AL63" s="410"/>
    </row>
    <row r="64" spans="1:40" s="583" customFormat="1" ht="16.5" customHeight="1">
      <c r="A64" s="664"/>
      <c r="B64" s="665"/>
      <c r="C64" s="665"/>
      <c r="D64" s="665"/>
      <c r="E64" s="665"/>
      <c r="F64" s="665"/>
      <c r="G64" s="665"/>
      <c r="H64" s="666"/>
      <c r="I64" s="587"/>
      <c r="J64" s="588"/>
      <c r="W64" s="584"/>
      <c r="X64" s="585"/>
      <c r="Y64" s="585"/>
      <c r="Z64" s="585"/>
      <c r="AA64" s="585"/>
      <c r="AB64" s="585"/>
      <c r="AC64" s="585"/>
      <c r="AD64" s="586"/>
      <c r="AF64" s="410"/>
      <c r="AG64" s="410"/>
      <c r="AH64" s="410"/>
      <c r="AI64" s="412"/>
      <c r="AJ64" s="412"/>
      <c r="AK64" s="410"/>
      <c r="AL64" s="410"/>
    </row>
    <row r="65" spans="1:38" s="583" customFormat="1" ht="16.5" customHeight="1">
      <c r="A65" s="667"/>
      <c r="B65" s="668"/>
      <c r="C65" s="668"/>
      <c r="D65" s="668"/>
      <c r="E65" s="668"/>
      <c r="F65" s="668"/>
      <c r="G65" s="668"/>
      <c r="H65" s="669"/>
      <c r="I65" s="587"/>
      <c r="J65" s="588"/>
      <c r="W65" s="584"/>
      <c r="X65" s="585"/>
      <c r="Y65" s="585"/>
      <c r="Z65" s="585"/>
      <c r="AA65" s="585"/>
      <c r="AB65" s="585"/>
      <c r="AC65" s="585"/>
      <c r="AD65" s="586"/>
      <c r="AF65" s="410"/>
      <c r="AG65" s="410"/>
      <c r="AH65" s="410"/>
      <c r="AI65" s="412"/>
      <c r="AJ65" s="412"/>
      <c r="AK65" s="410"/>
      <c r="AL65" s="410"/>
    </row>
    <row r="66" spans="1:38" s="583" customFormat="1">
      <c r="A66" s="579"/>
      <c r="B66" s="579"/>
      <c r="C66" s="579"/>
      <c r="D66" s="579"/>
      <c r="E66" s="579"/>
      <c r="F66" s="579"/>
      <c r="G66" s="579"/>
      <c r="H66" s="579"/>
      <c r="I66" s="589"/>
      <c r="J66" s="582"/>
      <c r="K66" s="578"/>
      <c r="L66" s="578"/>
      <c r="W66" s="584"/>
      <c r="X66" s="585"/>
      <c r="Y66" s="585"/>
      <c r="Z66" s="585"/>
      <c r="AA66" s="585"/>
      <c r="AB66" s="585"/>
      <c r="AC66" s="585"/>
      <c r="AD66" s="586"/>
      <c r="AF66" s="410"/>
      <c r="AG66" s="410"/>
      <c r="AH66" s="410"/>
      <c r="AI66" s="412"/>
      <c r="AJ66" s="412"/>
      <c r="AK66" s="410"/>
      <c r="AL66" s="410"/>
    </row>
    <row r="67" spans="1:38" s="583" customFormat="1" ht="15">
      <c r="A67" s="655" t="s">
        <v>524</v>
      </c>
      <c r="B67" s="656"/>
      <c r="C67" s="656"/>
      <c r="D67" s="656"/>
      <c r="E67" s="656"/>
      <c r="F67" s="656"/>
      <c r="G67" s="656"/>
      <c r="H67" s="657"/>
      <c r="I67" s="589"/>
      <c r="J67" s="582"/>
      <c r="K67" s="578"/>
      <c r="L67" s="578"/>
      <c r="W67" s="584"/>
      <c r="X67" s="585"/>
      <c r="Y67" s="585"/>
      <c r="Z67" s="585"/>
      <c r="AA67" s="585"/>
      <c r="AB67" s="585"/>
      <c r="AC67" s="585"/>
      <c r="AD67" s="586"/>
      <c r="AI67" s="585"/>
      <c r="AJ67" s="585"/>
    </row>
    <row r="68" spans="1:38" s="583" customFormat="1" ht="100.5" customHeight="1">
      <c r="A68" s="661"/>
      <c r="B68" s="662"/>
      <c r="C68" s="662"/>
      <c r="D68" s="662"/>
      <c r="E68" s="662"/>
      <c r="F68" s="662"/>
      <c r="G68" s="662"/>
      <c r="H68" s="663"/>
      <c r="I68" s="589"/>
      <c r="J68" s="582"/>
      <c r="K68" s="578"/>
      <c r="L68" s="578"/>
      <c r="W68" s="584"/>
      <c r="X68" s="585"/>
      <c r="Y68" s="585"/>
      <c r="Z68" s="585"/>
      <c r="AA68" s="585"/>
      <c r="AB68" s="585"/>
      <c r="AC68" s="585"/>
      <c r="AD68" s="586"/>
      <c r="AI68" s="585"/>
      <c r="AJ68" s="585"/>
    </row>
    <row r="69" spans="1:38" s="583" customFormat="1">
      <c r="A69" s="578"/>
      <c r="B69" s="578"/>
      <c r="C69" s="578"/>
      <c r="D69" s="578"/>
      <c r="E69" s="578"/>
      <c r="F69" s="578"/>
      <c r="G69" s="578"/>
      <c r="H69" s="578"/>
      <c r="I69" s="589"/>
      <c r="J69" s="582"/>
      <c r="K69" s="578"/>
      <c r="L69" s="578"/>
      <c r="W69" s="584"/>
      <c r="X69" s="585"/>
      <c r="Y69" s="585"/>
      <c r="Z69" s="585"/>
      <c r="AA69" s="585"/>
      <c r="AB69" s="585"/>
      <c r="AC69" s="585"/>
      <c r="AD69" s="586"/>
      <c r="AI69" s="585"/>
      <c r="AJ69" s="585"/>
    </row>
    <row r="70" spans="1:38" s="583" customFormat="1" ht="15">
      <c r="A70" s="658" t="s">
        <v>307</v>
      </c>
      <c r="B70" s="659"/>
      <c r="C70" s="659"/>
      <c r="D70" s="659"/>
      <c r="E70" s="659"/>
      <c r="F70" s="659"/>
      <c r="G70" s="659"/>
      <c r="H70" s="660"/>
      <c r="I70" s="589"/>
      <c r="J70" s="582"/>
      <c r="K70" s="578"/>
      <c r="L70" s="578"/>
      <c r="W70" s="584"/>
      <c r="X70" s="585"/>
      <c r="Y70" s="585"/>
      <c r="Z70" s="585"/>
      <c r="AA70" s="585"/>
      <c r="AB70" s="585"/>
      <c r="AC70" s="585"/>
      <c r="AD70" s="586"/>
      <c r="AI70" s="585"/>
      <c r="AJ70" s="585"/>
    </row>
    <row r="71" spans="1:38" s="583" customFormat="1">
      <c r="A71" s="581"/>
      <c r="B71" s="647" t="s">
        <v>525</v>
      </c>
      <c r="C71" s="648"/>
      <c r="D71" s="593" t="s">
        <v>528</v>
      </c>
      <c r="E71" s="647" t="s">
        <v>526</v>
      </c>
      <c r="F71" s="648"/>
      <c r="G71" s="647" t="s">
        <v>530</v>
      </c>
      <c r="H71" s="648"/>
      <c r="I71" s="589"/>
      <c r="J71" s="582"/>
      <c r="K71" s="578"/>
      <c r="L71" s="578"/>
      <c r="W71" s="584"/>
      <c r="X71" s="585"/>
      <c r="Y71" s="585"/>
      <c r="Z71" s="585"/>
      <c r="AA71" s="585"/>
      <c r="AB71" s="585"/>
      <c r="AC71" s="585"/>
      <c r="AD71" s="586"/>
      <c r="AI71" s="585"/>
      <c r="AJ71" s="585"/>
    </row>
    <row r="72" spans="1:38" s="583" customFormat="1" ht="32.25" customHeight="1">
      <c r="A72" s="580">
        <v>1</v>
      </c>
      <c r="B72" s="649"/>
      <c r="C72" s="650"/>
      <c r="D72" s="605"/>
      <c r="E72" s="670"/>
      <c r="F72" s="671"/>
      <c r="G72" s="672"/>
      <c r="H72" s="673"/>
      <c r="I72" s="589"/>
      <c r="J72" s="582"/>
      <c r="K72" s="578"/>
      <c r="L72" s="578"/>
      <c r="W72" s="584"/>
      <c r="X72" s="585"/>
      <c r="Y72" s="585"/>
      <c r="Z72" s="585"/>
      <c r="AA72" s="585"/>
      <c r="AB72" s="585"/>
      <c r="AC72" s="585"/>
      <c r="AD72" s="586"/>
      <c r="AI72" s="585"/>
      <c r="AJ72" s="585"/>
    </row>
    <row r="73" spans="1:38" s="583" customFormat="1" ht="32.25" customHeight="1">
      <c r="A73" s="580">
        <v>2</v>
      </c>
      <c r="B73" s="649"/>
      <c r="C73" s="650"/>
      <c r="D73" s="605"/>
      <c r="E73" s="670"/>
      <c r="F73" s="671"/>
      <c r="G73" s="672"/>
      <c r="H73" s="673"/>
      <c r="I73" s="589"/>
      <c r="J73" s="582"/>
      <c r="K73" s="578"/>
      <c r="L73" s="578"/>
      <c r="W73" s="584"/>
      <c r="X73" s="585"/>
      <c r="Y73" s="585"/>
      <c r="Z73" s="585"/>
      <c r="AA73" s="585"/>
      <c r="AB73" s="585"/>
      <c r="AC73" s="585"/>
      <c r="AD73" s="586"/>
      <c r="AI73" s="585"/>
      <c r="AJ73" s="585"/>
    </row>
    <row r="74" spans="1:38" s="583" customFormat="1" ht="32.25" customHeight="1">
      <c r="A74" s="580">
        <v>3</v>
      </c>
      <c r="B74" s="649"/>
      <c r="C74" s="650"/>
      <c r="D74" s="605"/>
      <c r="E74" s="670"/>
      <c r="F74" s="671"/>
      <c r="G74" s="672"/>
      <c r="H74" s="673"/>
      <c r="I74" s="589"/>
      <c r="J74" s="582"/>
      <c r="K74" s="578"/>
      <c r="L74" s="578"/>
      <c r="W74" s="584"/>
      <c r="X74" s="585"/>
      <c r="Y74" s="585"/>
      <c r="Z74" s="585"/>
      <c r="AA74" s="585"/>
      <c r="AB74" s="585"/>
      <c r="AC74" s="585"/>
      <c r="AD74" s="586"/>
      <c r="AI74" s="585"/>
      <c r="AJ74" s="585"/>
    </row>
    <row r="75" spans="1:38" s="583" customFormat="1" ht="32.25" customHeight="1">
      <c r="A75" s="580">
        <v>4</v>
      </c>
      <c r="B75" s="649"/>
      <c r="C75" s="650"/>
      <c r="D75" s="605"/>
      <c r="E75" s="670"/>
      <c r="F75" s="671"/>
      <c r="G75" s="672"/>
      <c r="H75" s="673"/>
      <c r="I75" s="589"/>
      <c r="J75" s="582"/>
      <c r="K75" s="578"/>
      <c r="L75" s="578"/>
      <c r="W75" s="584"/>
      <c r="X75" s="585"/>
      <c r="Y75" s="585"/>
      <c r="Z75" s="585"/>
      <c r="AA75" s="585"/>
      <c r="AB75" s="585"/>
      <c r="AC75" s="585"/>
      <c r="AD75" s="586"/>
      <c r="AI75" s="585"/>
      <c r="AJ75" s="585"/>
    </row>
    <row r="76" spans="1:38" s="583" customFormat="1" ht="32.25" customHeight="1">
      <c r="A76" s="580">
        <v>5</v>
      </c>
      <c r="B76" s="649"/>
      <c r="C76" s="650"/>
      <c r="D76" s="605"/>
      <c r="E76" s="670"/>
      <c r="F76" s="671"/>
      <c r="G76" s="672"/>
      <c r="H76" s="673"/>
      <c r="I76" s="589"/>
      <c r="J76" s="582"/>
      <c r="K76" s="578"/>
      <c r="L76" s="578"/>
      <c r="W76" s="584"/>
      <c r="X76" s="585"/>
      <c r="Y76" s="585"/>
      <c r="Z76" s="585"/>
      <c r="AA76" s="585"/>
      <c r="AB76" s="585"/>
      <c r="AC76" s="585"/>
      <c r="AD76" s="586"/>
      <c r="AI76" s="585"/>
      <c r="AJ76" s="585"/>
    </row>
    <row r="77" spans="1:38" s="583" customFormat="1" ht="32.25" customHeight="1">
      <c r="A77" s="580">
        <v>6</v>
      </c>
      <c r="B77" s="649"/>
      <c r="C77" s="650"/>
      <c r="D77" s="605"/>
      <c r="E77" s="670"/>
      <c r="F77" s="671"/>
      <c r="G77" s="672"/>
      <c r="H77" s="673"/>
      <c r="I77" s="589"/>
      <c r="J77" s="582"/>
      <c r="K77" s="578"/>
      <c r="L77" s="578"/>
      <c r="W77" s="584"/>
      <c r="X77" s="585"/>
      <c r="Y77" s="585"/>
      <c r="Z77" s="585"/>
      <c r="AA77" s="585"/>
      <c r="AB77" s="585"/>
      <c r="AC77" s="585"/>
      <c r="AD77" s="586"/>
      <c r="AI77" s="585"/>
      <c r="AJ77" s="585"/>
    </row>
    <row r="78" spans="1:38" s="583" customFormat="1" ht="32.25" customHeight="1">
      <c r="A78" s="580">
        <v>7</v>
      </c>
      <c r="B78" s="649"/>
      <c r="C78" s="650"/>
      <c r="D78" s="605"/>
      <c r="E78" s="670"/>
      <c r="F78" s="671"/>
      <c r="G78" s="672"/>
      <c r="H78" s="673"/>
      <c r="I78" s="589"/>
      <c r="J78" s="582"/>
      <c r="K78" s="578"/>
      <c r="L78" s="578"/>
      <c r="W78" s="584"/>
      <c r="X78" s="585"/>
      <c r="Y78" s="585"/>
      <c r="Z78" s="585"/>
      <c r="AA78" s="585"/>
      <c r="AB78" s="585"/>
      <c r="AC78" s="585"/>
      <c r="AD78" s="586"/>
      <c r="AI78" s="585"/>
      <c r="AJ78" s="585"/>
    </row>
    <row r="79" spans="1:38" s="583" customFormat="1">
      <c r="A79" s="578"/>
      <c r="B79" s="578"/>
      <c r="C79" s="578"/>
      <c r="D79" s="578"/>
      <c r="E79" s="578"/>
      <c r="F79" s="578"/>
      <c r="G79" s="578"/>
      <c r="H79" s="578"/>
      <c r="I79" s="589"/>
      <c r="J79" s="582"/>
      <c r="K79" s="578"/>
      <c r="L79" s="578"/>
      <c r="W79" s="584"/>
      <c r="X79" s="585"/>
      <c r="Y79" s="585"/>
      <c r="Z79" s="585"/>
      <c r="AA79" s="585"/>
      <c r="AB79" s="585"/>
      <c r="AC79" s="585"/>
      <c r="AD79" s="586"/>
      <c r="AI79" s="585"/>
      <c r="AJ79" s="585"/>
    </row>
    <row r="80" spans="1:38" s="583" customFormat="1">
      <c r="A80" s="578"/>
      <c r="B80" s="578"/>
      <c r="C80" s="578"/>
      <c r="D80" s="578"/>
      <c r="E80" s="578"/>
      <c r="F80" s="578"/>
      <c r="G80" s="578"/>
      <c r="H80" s="578"/>
      <c r="I80" s="589"/>
      <c r="J80" s="582"/>
      <c r="K80" s="578"/>
      <c r="L80" s="578"/>
      <c r="W80" s="584"/>
      <c r="X80" s="585"/>
      <c r="Y80" s="585"/>
      <c r="Z80" s="585"/>
      <c r="AA80" s="585"/>
      <c r="AB80" s="585"/>
      <c r="AC80" s="585"/>
      <c r="AD80" s="586"/>
      <c r="AI80" s="585"/>
      <c r="AJ80" s="585"/>
    </row>
    <row r="81" spans="1:36" s="583" customFormat="1">
      <c r="A81" s="578"/>
      <c r="B81" s="578"/>
      <c r="C81" s="578"/>
      <c r="D81" s="578"/>
      <c r="E81" s="578"/>
      <c r="F81" s="578"/>
      <c r="G81" s="578"/>
      <c r="H81" s="578"/>
      <c r="I81" s="589"/>
      <c r="J81" s="582"/>
      <c r="K81" s="578"/>
      <c r="L81" s="578"/>
      <c r="W81" s="584"/>
      <c r="X81" s="585"/>
      <c r="Y81" s="585"/>
      <c r="Z81" s="585"/>
      <c r="AA81" s="585"/>
      <c r="AB81" s="585"/>
      <c r="AC81" s="585"/>
      <c r="AD81" s="586"/>
      <c r="AI81" s="585"/>
      <c r="AJ81" s="585"/>
    </row>
    <row r="82" spans="1:36" s="583" customFormat="1">
      <c r="A82" s="578"/>
      <c r="B82" s="578"/>
      <c r="C82" s="578"/>
      <c r="D82" s="578"/>
      <c r="E82" s="578"/>
      <c r="F82" s="578"/>
      <c r="G82" s="578"/>
      <c r="H82" s="578"/>
      <c r="I82" s="589"/>
      <c r="J82" s="582"/>
      <c r="K82" s="578"/>
      <c r="L82" s="578"/>
      <c r="W82" s="584"/>
      <c r="X82" s="585"/>
      <c r="Y82" s="585"/>
      <c r="Z82" s="585"/>
      <c r="AA82" s="585"/>
      <c r="AB82" s="585"/>
      <c r="AC82" s="585"/>
      <c r="AD82" s="586"/>
      <c r="AI82" s="585"/>
      <c r="AJ82" s="585"/>
    </row>
    <row r="83" spans="1:36" s="583" customFormat="1">
      <c r="A83" s="578"/>
      <c r="B83" s="578"/>
      <c r="C83" s="578"/>
      <c r="D83" s="578"/>
      <c r="E83" s="578"/>
      <c r="F83" s="578"/>
      <c r="G83" s="578"/>
      <c r="H83" s="578"/>
      <c r="I83" s="589"/>
      <c r="J83" s="582"/>
      <c r="K83" s="578"/>
      <c r="L83" s="578"/>
      <c r="W83" s="584"/>
      <c r="X83" s="585"/>
      <c r="Y83" s="585"/>
      <c r="Z83" s="585"/>
      <c r="AA83" s="585"/>
      <c r="AB83" s="585"/>
      <c r="AC83" s="585"/>
      <c r="AD83" s="586"/>
      <c r="AI83" s="585"/>
      <c r="AJ83" s="585"/>
    </row>
    <row r="84" spans="1:36">
      <c r="A84" s="337"/>
      <c r="B84" s="337"/>
      <c r="C84" s="337"/>
      <c r="D84" s="337"/>
      <c r="E84" s="337"/>
      <c r="F84" s="337"/>
      <c r="G84" s="337"/>
      <c r="H84" s="337"/>
      <c r="I84" s="413"/>
      <c r="J84" s="414"/>
      <c r="K84" s="337"/>
      <c r="L84" s="337"/>
      <c r="AJ84" s="326"/>
    </row>
    <row r="85" spans="1:36">
      <c r="A85" s="337"/>
      <c r="B85" s="337"/>
      <c r="C85" s="337"/>
      <c r="D85" s="337"/>
      <c r="E85" s="337"/>
      <c r="F85" s="337"/>
      <c r="G85" s="337"/>
      <c r="H85" s="337"/>
      <c r="I85" s="413"/>
      <c r="J85" s="414"/>
      <c r="K85" s="337"/>
      <c r="L85" s="337"/>
      <c r="AJ85" s="326"/>
    </row>
    <row r="86" spans="1:36">
      <c r="A86" s="337"/>
      <c r="B86" s="337"/>
      <c r="C86" s="337"/>
      <c r="D86" s="337"/>
      <c r="E86" s="337"/>
      <c r="F86" s="337"/>
      <c r="G86" s="337"/>
      <c r="H86" s="337"/>
      <c r="I86" s="413"/>
      <c r="J86" s="414"/>
      <c r="K86" s="337"/>
      <c r="L86" s="337"/>
      <c r="AJ86" s="326"/>
    </row>
    <row r="87" spans="1:36">
      <c r="A87" s="337"/>
      <c r="B87" s="337"/>
      <c r="C87" s="337"/>
      <c r="D87" s="337"/>
      <c r="E87" s="337"/>
      <c r="F87" s="337"/>
      <c r="G87" s="337"/>
      <c r="H87" s="337"/>
      <c r="I87" s="413"/>
      <c r="J87" s="414"/>
      <c r="K87" s="337"/>
      <c r="L87" s="337"/>
      <c r="AJ87" s="326"/>
    </row>
    <row r="88" spans="1:36">
      <c r="A88" s="337"/>
      <c r="B88" s="337"/>
      <c r="C88" s="337"/>
      <c r="D88" s="337"/>
      <c r="E88" s="337"/>
      <c r="F88" s="337"/>
      <c r="G88" s="337"/>
      <c r="H88" s="337"/>
      <c r="I88" s="413"/>
      <c r="J88" s="414"/>
      <c r="K88" s="337"/>
      <c r="L88" s="337"/>
      <c r="AJ88" s="326"/>
    </row>
    <row r="89" spans="1:36">
      <c r="A89" s="337"/>
      <c r="B89" s="337"/>
      <c r="C89" s="337"/>
      <c r="D89" s="337"/>
      <c r="E89" s="337"/>
      <c r="F89" s="337"/>
      <c r="G89" s="337"/>
      <c r="H89" s="337"/>
      <c r="I89" s="413"/>
      <c r="J89" s="414"/>
      <c r="K89" s="337"/>
      <c r="L89" s="337"/>
      <c r="AJ89" s="326"/>
    </row>
    <row r="90" spans="1:36">
      <c r="A90" s="337"/>
      <c r="B90" s="337"/>
      <c r="C90" s="337"/>
      <c r="D90" s="337"/>
      <c r="E90" s="337"/>
      <c r="F90" s="337"/>
      <c r="G90" s="337"/>
      <c r="H90" s="337"/>
      <c r="I90" s="413"/>
      <c r="J90" s="414"/>
      <c r="K90" s="337"/>
      <c r="L90" s="337"/>
      <c r="AJ90" s="326"/>
    </row>
    <row r="91" spans="1:36">
      <c r="A91" s="337"/>
      <c r="B91" s="337"/>
      <c r="C91" s="337"/>
      <c r="D91" s="337"/>
      <c r="E91" s="337"/>
      <c r="F91" s="337"/>
      <c r="G91" s="337"/>
      <c r="H91" s="337"/>
      <c r="I91" s="413"/>
      <c r="J91" s="414"/>
      <c r="K91" s="337"/>
      <c r="L91" s="337"/>
      <c r="AJ91" s="326"/>
    </row>
    <row r="92" spans="1:36">
      <c r="A92" s="337"/>
      <c r="B92" s="337"/>
      <c r="J92" s="324"/>
      <c r="AJ92" s="326"/>
    </row>
    <row r="93" spans="1:36">
      <c r="J93" s="324"/>
      <c r="AJ93" s="326"/>
    </row>
    <row r="94" spans="1:36">
      <c r="J94" s="324"/>
      <c r="AJ94" s="326"/>
    </row>
    <row r="95" spans="1:36">
      <c r="J95" s="324"/>
      <c r="AJ95" s="326"/>
    </row>
    <row r="96" spans="1:36">
      <c r="J96" s="324"/>
      <c r="AJ96" s="326"/>
    </row>
    <row r="97" spans="3:36" ht="14.25" customHeight="1">
      <c r="J97" s="324"/>
      <c r="AJ97" s="326"/>
    </row>
    <row r="98" spans="3:36">
      <c r="J98" s="324"/>
      <c r="AJ98" s="326"/>
    </row>
    <row r="99" spans="3:36">
      <c r="J99" s="324"/>
      <c r="AJ99" s="326"/>
    </row>
    <row r="100" spans="3:36">
      <c r="J100" s="324"/>
      <c r="AJ100" s="326"/>
    </row>
    <row r="101" spans="3:36">
      <c r="J101" s="324"/>
      <c r="AJ101" s="326"/>
    </row>
    <row r="102" spans="3:36">
      <c r="C102" s="415"/>
      <c r="D102" s="415"/>
      <c r="E102" s="415"/>
      <c r="F102" s="415"/>
      <c r="G102" s="415"/>
      <c r="H102" s="415"/>
      <c r="I102" s="413"/>
      <c r="J102" s="415"/>
      <c r="K102" s="416"/>
      <c r="L102" s="416"/>
      <c r="AJ102" s="326"/>
    </row>
    <row r="103" spans="3:36">
      <c r="C103" s="417"/>
      <c r="D103" s="417"/>
      <c r="E103" s="417"/>
      <c r="F103" s="417"/>
      <c r="G103" s="417"/>
      <c r="H103" s="417"/>
      <c r="J103" s="417"/>
      <c r="AJ103" s="326"/>
    </row>
    <row r="104" spans="3:36">
      <c r="C104" s="337"/>
      <c r="D104" s="337"/>
      <c r="E104" s="337"/>
      <c r="F104" s="337"/>
      <c r="G104" s="337"/>
      <c r="H104" s="337"/>
      <c r="I104" s="413"/>
      <c r="J104" s="337"/>
      <c r="K104" s="337"/>
      <c r="L104" s="337"/>
      <c r="AJ104" s="326"/>
    </row>
    <row r="105" spans="3:36">
      <c r="C105" s="337"/>
      <c r="D105" s="337"/>
      <c r="E105" s="337"/>
      <c r="F105" s="337"/>
      <c r="G105" s="337"/>
      <c r="H105" s="337"/>
      <c r="I105" s="413"/>
      <c r="J105" s="337"/>
      <c r="K105" s="337"/>
      <c r="L105" s="337"/>
      <c r="AJ105" s="326"/>
    </row>
    <row r="106" spans="3:36">
      <c r="C106" s="337"/>
      <c r="D106" s="337"/>
      <c r="E106" s="337"/>
      <c r="F106" s="337"/>
      <c r="G106" s="337"/>
      <c r="H106" s="337"/>
      <c r="I106" s="413"/>
      <c r="J106" s="337"/>
      <c r="K106" s="337"/>
      <c r="L106" s="337"/>
      <c r="AJ106" s="326"/>
    </row>
    <row r="107" spans="3:36">
      <c r="C107" s="337"/>
      <c r="D107" s="337"/>
      <c r="E107" s="337"/>
      <c r="F107" s="337"/>
      <c r="G107" s="337"/>
      <c r="H107" s="337"/>
      <c r="I107" s="413"/>
      <c r="J107" s="337"/>
      <c r="K107" s="337"/>
      <c r="L107" s="337"/>
      <c r="AJ107" s="326"/>
    </row>
    <row r="108" spans="3:36">
      <c r="C108" s="337"/>
      <c r="D108" s="337"/>
      <c r="E108" s="337"/>
      <c r="F108" s="337"/>
      <c r="G108" s="337"/>
      <c r="H108" s="337"/>
      <c r="I108" s="413"/>
      <c r="J108" s="337"/>
      <c r="K108" s="337"/>
      <c r="L108" s="337"/>
      <c r="AJ108" s="326"/>
    </row>
    <row r="109" spans="3:36">
      <c r="C109" s="337"/>
      <c r="D109" s="337"/>
      <c r="E109" s="337"/>
      <c r="F109" s="337"/>
      <c r="G109" s="337"/>
      <c r="H109" s="337"/>
      <c r="I109" s="413"/>
      <c r="J109" s="337"/>
      <c r="K109" s="337"/>
      <c r="L109" s="337"/>
      <c r="AJ109" s="326"/>
    </row>
    <row r="110" spans="3:36">
      <c r="C110" s="337"/>
      <c r="D110" s="337"/>
      <c r="E110" s="337"/>
      <c r="F110" s="337"/>
      <c r="G110" s="337"/>
      <c r="H110" s="337"/>
      <c r="I110" s="413"/>
      <c r="J110" s="337"/>
      <c r="K110" s="337"/>
      <c r="L110" s="337"/>
      <c r="AJ110" s="326"/>
    </row>
    <row r="111" spans="3:36">
      <c r="C111" s="337"/>
      <c r="D111" s="337"/>
      <c r="E111" s="337"/>
      <c r="F111" s="337"/>
      <c r="G111" s="337"/>
      <c r="H111" s="337"/>
      <c r="I111" s="413"/>
      <c r="J111" s="337"/>
      <c r="K111" s="337"/>
      <c r="L111" s="337"/>
      <c r="AJ111" s="326"/>
    </row>
    <row r="112" spans="3:36">
      <c r="C112" s="357"/>
      <c r="D112" s="356"/>
      <c r="E112" s="356"/>
      <c r="F112" s="356"/>
      <c r="G112" s="356"/>
      <c r="H112" s="356"/>
      <c r="I112" s="418"/>
      <c r="J112" s="337"/>
      <c r="K112" s="337"/>
      <c r="L112" s="337"/>
      <c r="AJ112" s="326"/>
    </row>
    <row r="113" spans="3:36">
      <c r="C113" s="337"/>
      <c r="D113" s="337"/>
      <c r="E113" s="337"/>
      <c r="F113" s="337"/>
      <c r="G113" s="337"/>
      <c r="H113" s="337"/>
      <c r="I113" s="413"/>
      <c r="J113" s="337"/>
      <c r="K113" s="337"/>
      <c r="L113" s="337"/>
      <c r="AJ113" s="326"/>
    </row>
    <row r="114" spans="3:36">
      <c r="C114" s="337"/>
      <c r="D114" s="337"/>
      <c r="E114" s="337"/>
      <c r="F114" s="337"/>
      <c r="G114" s="337"/>
      <c r="H114" s="337"/>
      <c r="I114" s="413"/>
      <c r="J114" s="337"/>
      <c r="K114" s="337"/>
      <c r="L114" s="337"/>
      <c r="AJ114" s="326"/>
    </row>
    <row r="115" spans="3:36">
      <c r="C115" s="337"/>
      <c r="D115" s="337"/>
      <c r="E115" s="337"/>
      <c r="F115" s="337"/>
      <c r="G115" s="337"/>
      <c r="H115" s="337"/>
      <c r="I115" s="413"/>
      <c r="J115" s="337"/>
      <c r="K115" s="337"/>
      <c r="L115" s="337"/>
      <c r="AJ115" s="326"/>
    </row>
    <row r="116" spans="3:36">
      <c r="J116" s="324"/>
      <c r="AJ116" s="326"/>
    </row>
    <row r="117" spans="3:36">
      <c r="J117" s="324"/>
      <c r="AJ117" s="326"/>
    </row>
    <row r="118" spans="3:36">
      <c r="J118" s="324"/>
      <c r="AJ118" s="326"/>
    </row>
    <row r="119" spans="3:36">
      <c r="J119" s="324"/>
      <c r="AJ119" s="326"/>
    </row>
    <row r="120" spans="3:36">
      <c r="J120" s="324"/>
      <c r="AJ120" s="326"/>
    </row>
    <row r="121" spans="3:36">
      <c r="J121" s="324"/>
      <c r="AJ121" s="326"/>
    </row>
    <row r="122" spans="3:36">
      <c r="J122" s="324"/>
      <c r="AJ122" s="326"/>
    </row>
    <row r="123" spans="3:36">
      <c r="J123" s="324"/>
      <c r="AJ123" s="326"/>
    </row>
    <row r="124" spans="3:36">
      <c r="J124" s="324"/>
      <c r="AJ124" s="326"/>
    </row>
    <row r="125" spans="3:36">
      <c r="J125" s="324"/>
      <c r="AJ125" s="326"/>
    </row>
    <row r="126" spans="3:36">
      <c r="J126" s="324"/>
      <c r="AJ126" s="326"/>
    </row>
    <row r="127" spans="3:36">
      <c r="J127" s="324"/>
      <c r="AJ127" s="326"/>
    </row>
    <row r="128" spans="3:36">
      <c r="J128" s="324"/>
      <c r="AJ128" s="326"/>
    </row>
    <row r="129" spans="10:36">
      <c r="J129" s="324"/>
      <c r="AJ129" s="326"/>
    </row>
    <row r="130" spans="10:36">
      <c r="J130" s="324"/>
      <c r="AJ130" s="326"/>
    </row>
    <row r="131" spans="10:36">
      <c r="J131" s="324"/>
      <c r="AJ131" s="326"/>
    </row>
    <row r="132" spans="10:36">
      <c r="J132" s="324"/>
      <c r="AJ132" s="326"/>
    </row>
    <row r="133" spans="10:36">
      <c r="J133" s="324"/>
      <c r="AJ133" s="326"/>
    </row>
  </sheetData>
  <mergeCells count="52">
    <mergeCell ref="G74:H74"/>
    <mergeCell ref="G75:H75"/>
    <mergeCell ref="G76:H76"/>
    <mergeCell ref="G77:H77"/>
    <mergeCell ref="G78:H78"/>
    <mergeCell ref="E74:F74"/>
    <mergeCell ref="E75:F75"/>
    <mergeCell ref="E76:F76"/>
    <mergeCell ref="E77:F77"/>
    <mergeCell ref="E78:F78"/>
    <mergeCell ref="E72:F72"/>
    <mergeCell ref="G71:H71"/>
    <mergeCell ref="G72:H72"/>
    <mergeCell ref="E73:F73"/>
    <mergeCell ref="G73:H73"/>
    <mergeCell ref="B78:C78"/>
    <mergeCell ref="B75:C75"/>
    <mergeCell ref="B76:C76"/>
    <mergeCell ref="B77:C77"/>
    <mergeCell ref="B74:C74"/>
    <mergeCell ref="B71:C71"/>
    <mergeCell ref="B72:C72"/>
    <mergeCell ref="B73:C73"/>
    <mergeCell ref="A2:B2"/>
    <mergeCell ref="A3:B3"/>
    <mergeCell ref="A4:B4"/>
    <mergeCell ref="A6:B6"/>
    <mergeCell ref="A67:H67"/>
    <mergeCell ref="A61:H61"/>
    <mergeCell ref="A68:H68"/>
    <mergeCell ref="A70:H70"/>
    <mergeCell ref="A62:H62"/>
    <mergeCell ref="A63:H63"/>
    <mergeCell ref="A64:H64"/>
    <mergeCell ref="A65:H65"/>
    <mergeCell ref="E71:F71"/>
    <mergeCell ref="F3:F4"/>
    <mergeCell ref="G6:H6"/>
    <mergeCell ref="G15:H15"/>
    <mergeCell ref="G14:H14"/>
    <mergeCell ref="G13:H13"/>
    <mergeCell ref="G11:H11"/>
    <mergeCell ref="G10:H10"/>
    <mergeCell ref="AI18:AK18"/>
    <mergeCell ref="G9:H9"/>
    <mergeCell ref="G7:H7"/>
    <mergeCell ref="J18:L18"/>
    <mergeCell ref="AF18:AG19"/>
    <mergeCell ref="S18:V18"/>
    <mergeCell ref="M18:P18"/>
    <mergeCell ref="Q18:R18"/>
    <mergeCell ref="X18:AD18"/>
  </mergeCells>
  <phoneticPr fontId="0" type="noConversion"/>
  <dataValidations count="1">
    <dataValidation allowBlank="1" showInputMessage="1" sqref="H5 D20:I59 D5 H8 D7:D8 E8"/>
  </dataValidations>
  <pageMargins left="0.77" right="0.78740157499999996" top="0.984251969" bottom="0.84" header="0.4921259845" footer="0.4921259845"/>
  <pageSetup paperSize="9" scale="45" orientation="landscape" r:id="rId1"/>
  <headerFooter alignWithMargins="0"/>
  <rowBreaks count="1" manualBreakCount="1">
    <brk id="64" max="16383" man="1"/>
  </rowBreaks>
  <ignoredErrors>
    <ignoredError sqref="L20" formula="1"/>
    <ignoredError sqref="E20" unlockedFormula="1"/>
  </ignoredErrors>
  <drawing r:id="rId2"/>
  <legacyDrawing r:id="rId3"/>
  <controls>
    <mc:AlternateContent xmlns:mc="http://schemas.openxmlformats.org/markup-compatibility/2006">
      <mc:Choice Requires="x14">
        <control shapeId="5134" r:id="rId4" name="CommandButton4">
          <controlPr defaultSize="0" autoLine="0" r:id="rId5">
            <anchor moveWithCells="1">
              <from>
                <xdr:col>36</xdr:col>
                <xdr:colOff>28575</xdr:colOff>
                <xdr:row>18</xdr:row>
                <xdr:rowOff>28575</xdr:rowOff>
              </from>
              <to>
                <xdr:col>36</xdr:col>
                <xdr:colOff>942975</xdr:colOff>
                <xdr:row>18</xdr:row>
                <xdr:rowOff>333375</xdr:rowOff>
              </to>
            </anchor>
          </controlPr>
        </control>
      </mc:Choice>
      <mc:Fallback>
        <control shapeId="5134" r:id="rId4" name="CommandButton4"/>
      </mc:Fallback>
    </mc:AlternateContent>
    <mc:AlternateContent xmlns:mc="http://schemas.openxmlformats.org/markup-compatibility/2006">
      <mc:Choice Requires="x14">
        <control shapeId="5133" r:id="rId6" name="CommandButton3">
          <controlPr defaultSize="0" autoLine="0" r:id="rId7">
            <anchor moveWithCells="1">
              <from>
                <xdr:col>35</xdr:col>
                <xdr:colOff>38100</xdr:colOff>
                <xdr:row>18</xdr:row>
                <xdr:rowOff>28575</xdr:rowOff>
              </from>
              <to>
                <xdr:col>35</xdr:col>
                <xdr:colOff>952500</xdr:colOff>
                <xdr:row>18</xdr:row>
                <xdr:rowOff>342900</xdr:rowOff>
              </to>
            </anchor>
          </controlPr>
        </control>
      </mc:Choice>
      <mc:Fallback>
        <control shapeId="5133" r:id="rId6" name="CommandButton3"/>
      </mc:Fallback>
    </mc:AlternateContent>
    <mc:AlternateContent xmlns:mc="http://schemas.openxmlformats.org/markup-compatibility/2006">
      <mc:Choice Requires="x14">
        <control shapeId="5132" r:id="rId8" name="CommandButton2">
          <controlPr defaultSize="0" autoLine="0" r:id="rId9">
            <anchor moveWithCells="1">
              <from>
                <xdr:col>34</xdr:col>
                <xdr:colOff>57150</xdr:colOff>
                <xdr:row>18</xdr:row>
                <xdr:rowOff>28575</xdr:rowOff>
              </from>
              <to>
                <xdr:col>34</xdr:col>
                <xdr:colOff>971550</xdr:colOff>
                <xdr:row>18</xdr:row>
                <xdr:rowOff>342900</xdr:rowOff>
              </to>
            </anchor>
          </controlPr>
        </control>
      </mc:Choice>
      <mc:Fallback>
        <control shapeId="5132" r:id="rId8" name="CommandButton2"/>
      </mc:Fallback>
    </mc:AlternateContent>
    <mc:AlternateContent xmlns:mc="http://schemas.openxmlformats.org/markup-compatibility/2006">
      <mc:Choice Requires="x14">
        <control shapeId="5122" r:id="rId10" name="CommandButton1">
          <controlPr defaultSize="0" print="0" autoLine="0" r:id="rId11">
            <anchor moveWithCells="1">
              <from>
                <xdr:col>6</xdr:col>
                <xdr:colOff>19050</xdr:colOff>
                <xdr:row>1</xdr:row>
                <xdr:rowOff>9525</xdr:rowOff>
              </from>
              <to>
                <xdr:col>7</xdr:col>
                <xdr:colOff>714375</xdr:colOff>
                <xdr:row>3</xdr:row>
                <xdr:rowOff>190500</xdr:rowOff>
              </to>
            </anchor>
          </controlPr>
        </control>
      </mc:Choice>
      <mc:Fallback>
        <control shapeId="5122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Stammdaten!$D$4:$G$4</xm:f>
          </x14:formula1>
          <xm:sqref>D2</xm:sqref>
        </x14:dataValidation>
        <x14:dataValidation type="list" allowBlank="1" showInputMessage="1" showErrorMessage="1">
          <x14:formula1>
            <xm:f>Stammdaten!$C$109:$C$119</xm:f>
          </x14:formula1>
          <xm:sqref>D4</xm:sqref>
        </x14:dataValidation>
        <x14:dataValidation type="list" allowBlank="1" showInputMessage="1" showErrorMessage="1">
          <x14:formula1>
            <xm:f>Stammdaten!$C$109:$C$119</xm:f>
          </x14:formula1>
          <xm:sqref>D6</xm:sqref>
        </x14:dataValidation>
        <x14:dataValidation type="list" allowBlank="1" showInputMessage="1" showErrorMessage="1">
          <x14:formula1>
            <xm:f>Stammdaten!$C$121:$C$151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3" tint="0.59999389629810485"/>
    <pageSetUpPr fitToPage="1"/>
  </sheetPr>
  <dimension ref="A1:AB83"/>
  <sheetViews>
    <sheetView view="pageBreakPreview" topLeftCell="A21" zoomScaleNormal="100" zoomScaleSheetLayoutView="100" workbookViewId="0">
      <selection activeCell="A38" sqref="A38"/>
    </sheetView>
  </sheetViews>
  <sheetFormatPr baseColWidth="10" defaultRowHeight="14.25"/>
  <cols>
    <col min="1" max="1" width="35.140625" style="84" customWidth="1"/>
    <col min="2" max="6" width="8" style="84" customWidth="1"/>
    <col min="7" max="7" width="9.140625" style="237" customWidth="1"/>
    <col min="8" max="8" width="13.85546875" style="84" hidden="1" customWidth="1"/>
    <col min="9" max="9" width="12.28515625" style="84" hidden="1" customWidth="1"/>
    <col min="10" max="10" width="11.28515625" style="84" hidden="1" customWidth="1"/>
    <col min="11" max="12" width="11.42578125" style="82"/>
    <col min="13" max="13" width="11.42578125" style="82" customWidth="1"/>
    <col min="14" max="15" width="11.42578125" style="84" customWidth="1"/>
    <col min="16" max="23" width="9.5703125" style="84" customWidth="1"/>
    <col min="24" max="26" width="11.42578125" style="84" customWidth="1"/>
    <col min="27" max="16384" width="11.42578125" style="84"/>
  </cols>
  <sheetData>
    <row r="1" spans="1:28" s="82" customFormat="1" ht="25.5" customHeight="1">
      <c r="A1" s="30" t="s">
        <v>99</v>
      </c>
      <c r="G1" s="230"/>
    </row>
    <row r="2" spans="1:28" s="82" customFormat="1" ht="21.75" customHeight="1">
      <c r="G2" s="230"/>
      <c r="Q2" s="193"/>
      <c r="R2" s="193"/>
      <c r="S2" s="193"/>
      <c r="T2" s="193"/>
      <c r="U2" s="193"/>
      <c r="V2" s="193"/>
      <c r="W2" s="193"/>
      <c r="X2" s="193"/>
      <c r="Y2" s="193"/>
    </row>
    <row r="3" spans="1:28" s="82" customFormat="1" ht="15">
      <c r="A3" s="29" t="s">
        <v>64</v>
      </c>
      <c r="B3" s="681" t="str">
        <f>Ablauf!G9</f>
        <v>Div. Luftleitschilde</v>
      </c>
      <c r="C3" s="681"/>
      <c r="D3" s="681"/>
      <c r="E3" s="681"/>
      <c r="F3" s="681"/>
      <c r="G3" s="681"/>
      <c r="Q3" s="193"/>
      <c r="R3" s="193"/>
      <c r="S3" s="193"/>
      <c r="T3" s="193"/>
      <c r="U3" s="193"/>
      <c r="V3" s="193"/>
      <c r="W3" s="193"/>
      <c r="X3" s="193"/>
      <c r="Y3" s="193"/>
    </row>
    <row r="4" spans="1:28" s="82" customFormat="1" ht="15">
      <c r="A4" s="29" t="s">
        <v>63</v>
      </c>
      <c r="B4" s="682" t="str">
        <f>FA!C9</f>
        <v>215007SADI1</v>
      </c>
      <c r="C4" s="682"/>
      <c r="D4" s="682"/>
      <c r="E4" s="682"/>
      <c r="F4" s="681"/>
      <c r="G4" s="681"/>
      <c r="Q4" s="193"/>
      <c r="R4" s="193"/>
      <c r="S4" s="193"/>
      <c r="T4" s="193"/>
      <c r="U4" s="193"/>
      <c r="V4" s="193"/>
      <c r="W4" s="193"/>
      <c r="X4" s="193"/>
      <c r="Y4" s="193"/>
    </row>
    <row r="5" spans="1:28" s="82" customFormat="1" ht="15">
      <c r="A5" s="29" t="s">
        <v>98</v>
      </c>
      <c r="B5" s="682">
        <f>FA!C7</f>
        <v>0</v>
      </c>
      <c r="C5" s="682"/>
      <c r="D5" s="682"/>
      <c r="E5" s="682"/>
      <c r="F5" s="682"/>
      <c r="G5" s="682"/>
      <c r="Q5" s="193"/>
      <c r="R5" s="193"/>
      <c r="S5" s="193"/>
      <c r="T5" s="193"/>
      <c r="U5" s="193"/>
      <c r="V5" s="193"/>
      <c r="W5" s="193"/>
      <c r="X5" s="193"/>
      <c r="Y5" s="193"/>
    </row>
    <row r="6" spans="1:28" s="82" customFormat="1" ht="15">
      <c r="A6" s="29" t="s">
        <v>75</v>
      </c>
      <c r="B6" s="681">
        <f>FA!C13</f>
        <v>0</v>
      </c>
      <c r="C6" s="681"/>
      <c r="D6" s="681"/>
      <c r="E6" s="681"/>
      <c r="F6" s="681"/>
      <c r="G6" s="681"/>
      <c r="Q6" s="193"/>
      <c r="R6" s="193"/>
      <c r="S6" s="193"/>
      <c r="T6" s="193"/>
      <c r="U6" s="193"/>
      <c r="V6" s="193"/>
      <c r="W6" s="193"/>
      <c r="X6" s="193"/>
      <c r="Y6" s="193"/>
    </row>
    <row r="8" spans="1:28" ht="15" customHeight="1">
      <c r="A8" s="194"/>
      <c r="B8" s="195"/>
      <c r="C8" s="196"/>
      <c r="D8" s="196"/>
      <c r="E8" s="196"/>
      <c r="F8" s="197" t="s">
        <v>94</v>
      </c>
      <c r="G8" s="228" t="s">
        <v>96</v>
      </c>
      <c r="H8" s="198"/>
      <c r="I8" s="13"/>
      <c r="J8" s="13"/>
      <c r="O8" s="82"/>
      <c r="P8" s="82"/>
      <c r="Q8" s="82"/>
      <c r="R8" s="199"/>
      <c r="S8" s="199"/>
      <c r="T8" s="82"/>
      <c r="U8" s="82"/>
      <c r="V8" s="82"/>
      <c r="W8" s="82"/>
      <c r="X8" s="82"/>
      <c r="Y8" s="82"/>
      <c r="Z8" s="82"/>
      <c r="AA8" s="82"/>
      <c r="AB8" s="82"/>
    </row>
    <row r="9" spans="1:28" ht="15" customHeight="1">
      <c r="A9" s="200" t="s">
        <v>0</v>
      </c>
      <c r="B9" s="201"/>
      <c r="C9" s="202"/>
      <c r="D9" s="683">
        <f>SUM(Ablauf!E20:E59)/60*LK</f>
        <v>583.33333333333337</v>
      </c>
      <c r="E9" s="683"/>
      <c r="F9" s="683"/>
      <c r="G9" s="231">
        <f>D9/D16</f>
        <v>128.97452095177928</v>
      </c>
      <c r="H9" s="198"/>
      <c r="I9" s="13"/>
      <c r="O9" s="82"/>
      <c r="P9" s="82"/>
      <c r="Q9" s="82"/>
      <c r="R9" s="199"/>
      <c r="S9" s="199"/>
      <c r="T9" s="82"/>
      <c r="U9" s="82"/>
      <c r="V9" s="82"/>
      <c r="W9" s="82"/>
      <c r="X9" s="82"/>
      <c r="Y9" s="82"/>
      <c r="Z9" s="82"/>
      <c r="AA9" s="82"/>
      <c r="AB9" s="82"/>
    </row>
    <row r="10" spans="1:28" ht="15" customHeight="1">
      <c r="A10" s="200" t="s">
        <v>93</v>
      </c>
      <c r="B10" s="201"/>
      <c r="C10" s="202"/>
      <c r="D10" s="683">
        <f>SUM(Ablauf!F20:F59)</f>
        <v>186.23202771428569</v>
      </c>
      <c r="E10" s="683"/>
      <c r="F10" s="683"/>
      <c r="G10" s="231">
        <f>D10/$D$16</f>
        <v>41.17574838913454</v>
      </c>
      <c r="H10" s="198"/>
      <c r="I10" s="13"/>
      <c r="O10" s="82"/>
      <c r="P10" s="82"/>
      <c r="Q10" s="82"/>
      <c r="R10" s="199"/>
      <c r="S10" s="199"/>
      <c r="T10" s="82"/>
      <c r="U10" s="82"/>
      <c r="V10" s="82"/>
      <c r="W10" s="82"/>
      <c r="X10" s="82"/>
      <c r="Y10" s="82"/>
      <c r="Z10" s="82"/>
      <c r="AA10" s="82"/>
      <c r="AB10" s="82"/>
    </row>
    <row r="11" spans="1:28" ht="15" customHeight="1">
      <c r="A11" s="200" t="s">
        <v>323</v>
      </c>
      <c r="B11" s="201"/>
      <c r="C11" s="202"/>
      <c r="D11" s="683">
        <f>SUM(Ablauf!G20:H59)</f>
        <v>22.599999999999998</v>
      </c>
      <c r="E11" s="683"/>
      <c r="F11" s="683"/>
      <c r="G11" s="231">
        <f>D11/$D$16</f>
        <v>4.9968414403032204</v>
      </c>
      <c r="H11" s="198"/>
      <c r="I11" s="13"/>
      <c r="O11" s="82"/>
      <c r="P11" s="82"/>
      <c r="Q11" s="82"/>
      <c r="R11" s="199"/>
      <c r="S11" s="199"/>
      <c r="T11" s="82"/>
      <c r="U11" s="82"/>
      <c r="V11" s="82"/>
      <c r="W11" s="82"/>
      <c r="X11" s="82"/>
      <c r="Y11" s="82"/>
      <c r="Z11" s="82"/>
      <c r="AA11" s="82"/>
      <c r="AB11" s="82"/>
    </row>
    <row r="12" spans="1:28" ht="15" customHeight="1">
      <c r="A12" s="200" t="s">
        <v>305</v>
      </c>
      <c r="B12" s="420">
        <v>0.05</v>
      </c>
      <c r="C12" s="205"/>
      <c r="D12" s="676">
        <f>SUM(D9:F11)*B12</f>
        <v>39.608268052380957</v>
      </c>
      <c r="E12" s="676"/>
      <c r="F12" s="676"/>
      <c r="G12" s="231">
        <f>D12/$D$16</f>
        <v>8.7573555390608533</v>
      </c>
      <c r="H12" s="198"/>
      <c r="I12" s="13"/>
      <c r="O12" s="82"/>
      <c r="P12" s="82"/>
      <c r="Q12" s="82"/>
      <c r="R12" s="199"/>
      <c r="S12" s="199"/>
      <c r="T12" s="82"/>
      <c r="U12" s="82"/>
      <c r="V12" s="82"/>
      <c r="W12" s="82"/>
      <c r="X12" s="82"/>
      <c r="Y12" s="82"/>
      <c r="Z12" s="82"/>
      <c r="AA12" s="82"/>
      <c r="AB12" s="82"/>
    </row>
    <row r="13" spans="1:28" ht="15" customHeight="1">
      <c r="A13" s="200" t="s">
        <v>306</v>
      </c>
      <c r="B13" s="420">
        <v>0.1</v>
      </c>
      <c r="C13" s="205"/>
      <c r="D13" s="676">
        <f>D10*B13</f>
        <v>18.62320277142857</v>
      </c>
      <c r="E13" s="676"/>
      <c r="F13" s="676"/>
      <c r="G13" s="238">
        <f>B13*D16</f>
        <v>0.4522857142857144</v>
      </c>
      <c r="H13" s="198"/>
      <c r="I13" s="13"/>
      <c r="O13" s="82"/>
      <c r="P13" s="82"/>
      <c r="Q13" s="82"/>
      <c r="R13" s="199"/>
      <c r="S13" s="199"/>
      <c r="T13" s="82"/>
      <c r="U13" s="82"/>
      <c r="V13" s="82"/>
      <c r="W13" s="82"/>
      <c r="X13" s="82"/>
      <c r="Y13" s="82"/>
      <c r="Z13" s="82"/>
      <c r="AA13" s="82"/>
      <c r="AB13" s="82"/>
    </row>
    <row r="14" spans="1:28" ht="15" customHeight="1">
      <c r="A14" s="210" t="s">
        <v>247</v>
      </c>
      <c r="B14" s="211"/>
      <c r="C14" s="295"/>
      <c r="D14" s="684">
        <f>SUM(Ablauf!E20:E59)/60</f>
        <v>16.666666666666668</v>
      </c>
      <c r="E14" s="684"/>
      <c r="F14" s="684"/>
      <c r="G14" s="229">
        <f>D16/D14</f>
        <v>0.2713714285714286</v>
      </c>
      <c r="H14" s="198"/>
      <c r="I14" s="13"/>
      <c r="J14" s="13"/>
      <c r="O14" s="82"/>
      <c r="P14" s="82"/>
      <c r="Q14" s="82"/>
      <c r="R14" s="199"/>
      <c r="S14" s="199"/>
      <c r="T14" s="82"/>
      <c r="U14" s="82"/>
      <c r="V14" s="82"/>
      <c r="W14" s="82"/>
      <c r="X14" s="82"/>
      <c r="Y14" s="82"/>
      <c r="Z14" s="82"/>
      <c r="AA14" s="82"/>
      <c r="AB14" s="82"/>
    </row>
    <row r="15" spans="1:28" ht="15" customHeight="1">
      <c r="A15" s="212" t="s">
        <v>92</v>
      </c>
      <c r="B15" s="211"/>
      <c r="C15" s="295"/>
      <c r="D15" s="684">
        <f>SUM(Ablauf!S20:S59)</f>
        <v>4.8</v>
      </c>
      <c r="E15" s="684"/>
      <c r="F15" s="684"/>
      <c r="G15" s="232"/>
      <c r="H15" s="198"/>
      <c r="I15" s="13"/>
      <c r="J15" s="13"/>
      <c r="O15" s="82"/>
      <c r="P15" s="82"/>
      <c r="Q15" s="82"/>
      <c r="R15" s="199"/>
      <c r="S15" s="199"/>
      <c r="T15" s="82"/>
      <c r="U15" s="82"/>
      <c r="V15" s="82"/>
      <c r="W15" s="82"/>
      <c r="X15" s="82"/>
      <c r="Y15" s="82"/>
      <c r="Z15" s="82"/>
      <c r="AA15" s="82"/>
      <c r="AB15" s="82"/>
    </row>
    <row r="16" spans="1:28" ht="15" customHeight="1">
      <c r="A16" s="210" t="s">
        <v>28</v>
      </c>
      <c r="B16" s="211"/>
      <c r="C16" s="295"/>
      <c r="D16" s="684">
        <f>SUM(Ablauf!V20:V59)</f>
        <v>4.522857142857144</v>
      </c>
      <c r="E16" s="684"/>
      <c r="F16" s="684"/>
      <c r="G16" s="232"/>
      <c r="H16" s="198"/>
      <c r="I16" s="13"/>
      <c r="J16" s="13"/>
      <c r="O16" s="82"/>
      <c r="P16" s="82"/>
      <c r="Q16" s="82"/>
      <c r="R16" s="199"/>
      <c r="S16" s="199"/>
      <c r="T16" s="82"/>
      <c r="U16" s="82"/>
      <c r="V16" s="82"/>
      <c r="W16" s="82"/>
      <c r="X16" s="82"/>
      <c r="Y16" s="82"/>
      <c r="Z16" s="82"/>
      <c r="AA16" s="82"/>
      <c r="AB16" s="82"/>
    </row>
    <row r="17" spans="1:28" ht="15" customHeight="1">
      <c r="A17" s="283" t="s">
        <v>301</v>
      </c>
      <c r="B17" s="284"/>
      <c r="C17" s="284"/>
      <c r="D17" s="674">
        <f>SUM(D9:F13)</f>
        <v>850.39683187142862</v>
      </c>
      <c r="E17" s="674"/>
      <c r="F17" s="674"/>
      <c r="G17" s="285">
        <f>D17/D16</f>
        <v>188.02204115919136</v>
      </c>
      <c r="H17" s="198"/>
      <c r="I17" s="13"/>
      <c r="J17" s="13"/>
      <c r="O17" s="82"/>
      <c r="P17" s="82"/>
      <c r="Q17" s="82"/>
      <c r="R17" s="199"/>
      <c r="S17" s="199"/>
      <c r="T17" s="82"/>
      <c r="U17" s="82"/>
      <c r="V17" s="82"/>
      <c r="W17" s="82"/>
      <c r="X17" s="82"/>
      <c r="Y17" s="82"/>
      <c r="Z17" s="82"/>
      <c r="AA17" s="82"/>
      <c r="AB17" s="82"/>
    </row>
    <row r="18" spans="1:28" ht="15" customHeight="1">
      <c r="A18" s="287"/>
      <c r="B18" s="287"/>
      <c r="C18" s="287"/>
      <c r="D18" s="287"/>
      <c r="E18" s="287"/>
      <c r="F18" s="287"/>
      <c r="G18" s="288"/>
      <c r="H18" s="198"/>
      <c r="I18" s="13"/>
      <c r="J18" s="13"/>
      <c r="O18" s="82"/>
      <c r="P18" s="82"/>
      <c r="Q18" s="82"/>
      <c r="R18" s="199"/>
      <c r="S18" s="199"/>
      <c r="T18" s="82"/>
      <c r="U18" s="82"/>
      <c r="V18" s="82"/>
      <c r="W18" s="82"/>
      <c r="X18" s="82"/>
      <c r="Y18" s="82"/>
      <c r="Z18" s="82"/>
      <c r="AA18" s="82"/>
      <c r="AB18" s="82"/>
    </row>
    <row r="19" spans="1:28" ht="15" customHeight="1">
      <c r="A19" s="204" t="s">
        <v>38</v>
      </c>
      <c r="B19" s="420">
        <v>0.35</v>
      </c>
      <c r="C19" s="205"/>
      <c r="D19" s="676">
        <f>D17*B19</f>
        <v>297.63889115500001</v>
      </c>
      <c r="E19" s="676"/>
      <c r="F19" s="676"/>
      <c r="G19" s="233"/>
      <c r="H19" s="112"/>
    </row>
    <row r="20" spans="1:28" ht="15" customHeight="1">
      <c r="A20" s="204" t="s">
        <v>39</v>
      </c>
      <c r="B20" s="421">
        <v>0.05</v>
      </c>
      <c r="C20" s="286"/>
      <c r="D20" s="676">
        <f>D17*B20</f>
        <v>42.519841593571435</v>
      </c>
      <c r="E20" s="676"/>
      <c r="F20" s="676"/>
      <c r="G20" s="233"/>
      <c r="H20" s="203"/>
    </row>
    <row r="21" spans="1:28" ht="15.75" customHeight="1">
      <c r="A21" s="283" t="s">
        <v>333</v>
      </c>
      <c r="B21" s="284"/>
      <c r="C21" s="284"/>
      <c r="D21" s="674">
        <f>SUM(D17,D19:F20)</f>
        <v>1190.55556462</v>
      </c>
      <c r="E21" s="674"/>
      <c r="F21" s="674"/>
      <c r="G21" s="285"/>
      <c r="H21" s="207"/>
    </row>
    <row r="22" spans="1:28" ht="15">
      <c r="A22" s="208"/>
      <c r="B22" s="209"/>
      <c r="C22" s="209"/>
      <c r="D22" s="677"/>
      <c r="E22" s="677"/>
      <c r="F22" s="677"/>
      <c r="G22" s="282"/>
      <c r="H22" s="112"/>
    </row>
    <row r="23" spans="1:28">
      <c r="A23" s="204" t="s">
        <v>187</v>
      </c>
      <c r="B23" s="420">
        <v>0.03</v>
      </c>
      <c r="C23" s="205"/>
      <c r="D23" s="676">
        <f>D21*B23</f>
        <v>35.7166669386</v>
      </c>
      <c r="E23" s="676"/>
      <c r="F23" s="676"/>
      <c r="G23" s="233"/>
      <c r="H23" s="203"/>
    </row>
    <row r="24" spans="1:28" ht="15">
      <c r="A24" s="283" t="s">
        <v>334</v>
      </c>
      <c r="B24" s="284"/>
      <c r="C24" s="284"/>
      <c r="D24" s="674">
        <f>D23+D21</f>
        <v>1226.2722315586</v>
      </c>
      <c r="E24" s="674"/>
      <c r="F24" s="674"/>
      <c r="G24" s="285"/>
      <c r="H24" s="207"/>
    </row>
    <row r="25" spans="1:28" s="112" customFormat="1" ht="15">
      <c r="A25" s="290"/>
      <c r="B25" s="291"/>
      <c r="C25" s="291"/>
      <c r="D25" s="676"/>
      <c r="E25" s="676"/>
      <c r="F25" s="676"/>
      <c r="G25" s="233"/>
      <c r="H25" s="207"/>
    </row>
    <row r="26" spans="1:28">
      <c r="A26" s="204" t="s">
        <v>91</v>
      </c>
      <c r="B26" s="420">
        <v>0.05</v>
      </c>
      <c r="C26" s="205"/>
      <c r="D26" s="676">
        <f>D24*(B26+B26^2)</f>
        <v>64.379292156826509</v>
      </c>
      <c r="E26" s="676"/>
      <c r="F26" s="676"/>
      <c r="G26" s="233"/>
      <c r="H26" s="203"/>
    </row>
    <row r="27" spans="1:28" ht="18">
      <c r="A27" s="292" t="s">
        <v>335</v>
      </c>
      <c r="B27" s="293"/>
      <c r="C27" s="293"/>
      <c r="D27" s="675">
        <f>MROUND(SUM(D26+D24),20)</f>
        <v>1300</v>
      </c>
      <c r="E27" s="675"/>
      <c r="F27" s="675"/>
      <c r="G27" s="294"/>
      <c r="H27" s="207"/>
    </row>
    <row r="28" spans="1:28" ht="15" customHeight="1">
      <c r="A28" s="287"/>
      <c r="B28" s="287"/>
      <c r="C28" s="287"/>
      <c r="D28" s="287"/>
      <c r="E28" s="287"/>
      <c r="F28" s="287"/>
      <c r="G28" s="288"/>
      <c r="H28" s="198"/>
      <c r="I28" s="13"/>
      <c r="J28" s="13"/>
      <c r="O28" s="82"/>
      <c r="P28" s="82"/>
      <c r="Q28" s="82"/>
      <c r="R28" s="199"/>
      <c r="S28" s="199"/>
      <c r="T28" s="82"/>
      <c r="U28" s="82"/>
      <c r="V28" s="82"/>
      <c r="W28" s="82"/>
      <c r="X28" s="82"/>
      <c r="Y28" s="82"/>
      <c r="Z28" s="82"/>
      <c r="AA28" s="82"/>
      <c r="AB28" s="82"/>
    </row>
    <row r="29" spans="1:28" ht="15" customHeight="1">
      <c r="A29" s="287"/>
      <c r="B29" s="287"/>
      <c r="C29" s="287"/>
      <c r="D29" s="287"/>
      <c r="E29" s="287"/>
      <c r="F29" s="287"/>
      <c r="G29" s="288"/>
      <c r="H29" s="198"/>
      <c r="I29" s="13"/>
      <c r="J29" s="13"/>
      <c r="O29" s="82"/>
      <c r="P29" s="82"/>
      <c r="Q29" s="82"/>
      <c r="R29" s="199"/>
      <c r="S29" s="199"/>
      <c r="T29" s="82"/>
      <c r="U29" s="82"/>
      <c r="V29" s="82"/>
      <c r="W29" s="82"/>
      <c r="X29" s="82"/>
      <c r="Y29" s="82"/>
      <c r="Z29" s="82"/>
      <c r="AA29" s="82"/>
      <c r="AB29" s="82"/>
    </row>
    <row r="30" spans="1:28">
      <c r="A30" s="204" t="s">
        <v>37</v>
      </c>
      <c r="B30" s="205"/>
      <c r="C30" s="205"/>
      <c r="D30" s="676">
        <f>Ablauf!D13</f>
        <v>0</v>
      </c>
      <c r="E30" s="676"/>
      <c r="F30" s="676"/>
      <c r="G30" s="233"/>
    </row>
    <row r="31" spans="1:28">
      <c r="A31" s="204" t="s">
        <v>90</v>
      </c>
      <c r="B31" s="205"/>
      <c r="C31" s="205"/>
      <c r="D31" s="676">
        <f>Ablauf!D14</f>
        <v>0</v>
      </c>
      <c r="E31" s="676"/>
      <c r="F31" s="676"/>
      <c r="G31" s="233"/>
    </row>
    <row r="32" spans="1:28" ht="15" customHeight="1">
      <c r="A32" s="283" t="s">
        <v>326</v>
      </c>
      <c r="B32" s="284"/>
      <c r="C32" s="284"/>
      <c r="D32" s="674">
        <f>SUM(D30:F31)</f>
        <v>0</v>
      </c>
      <c r="E32" s="674"/>
      <c r="F32" s="674"/>
      <c r="G32" s="285"/>
      <c r="H32" s="198"/>
      <c r="I32" s="13"/>
      <c r="J32" s="13"/>
      <c r="O32" s="82"/>
      <c r="P32" s="82"/>
      <c r="Q32" s="82"/>
      <c r="R32" s="199"/>
      <c r="S32" s="199"/>
      <c r="T32" s="82"/>
      <c r="U32" s="82"/>
      <c r="V32" s="82"/>
      <c r="W32" s="82"/>
      <c r="X32" s="82"/>
      <c r="Y32" s="82"/>
      <c r="Z32" s="82"/>
      <c r="AA32" s="82"/>
      <c r="AB32" s="82"/>
    </row>
    <row r="33" spans="1:28" ht="17.25" customHeight="1">
      <c r="A33" s="292" t="s">
        <v>337</v>
      </c>
      <c r="B33" s="293"/>
      <c r="C33" s="293"/>
      <c r="D33" s="675">
        <f>(1+B19+B20+B23+B26)*D32</f>
        <v>0</v>
      </c>
      <c r="E33" s="675"/>
      <c r="F33" s="675"/>
      <c r="G33" s="294"/>
      <c r="H33" s="198"/>
      <c r="I33" s="13"/>
      <c r="J33" s="13"/>
      <c r="O33" s="82"/>
      <c r="P33" s="82"/>
      <c r="Q33" s="82"/>
      <c r="R33" s="199"/>
      <c r="S33" s="199"/>
      <c r="T33" s="82"/>
      <c r="U33" s="82"/>
      <c r="V33" s="82"/>
      <c r="W33" s="82"/>
      <c r="X33" s="82"/>
      <c r="Y33" s="82"/>
      <c r="Z33" s="82"/>
      <c r="AA33" s="82"/>
      <c r="AB33" s="82"/>
    </row>
    <row r="34" spans="1:28" ht="15" customHeight="1">
      <c r="A34" s="287"/>
      <c r="B34" s="287"/>
      <c r="C34" s="287"/>
      <c r="D34" s="287"/>
      <c r="E34" s="287"/>
      <c r="F34" s="287"/>
      <c r="G34" s="288"/>
      <c r="H34" s="198"/>
      <c r="I34" s="13"/>
      <c r="J34" s="13"/>
      <c r="O34" s="82"/>
      <c r="P34" s="82"/>
      <c r="Q34" s="82"/>
      <c r="R34" s="199"/>
      <c r="S34" s="199"/>
      <c r="T34" s="82"/>
      <c r="U34" s="82"/>
      <c r="V34" s="82"/>
      <c r="W34" s="82"/>
      <c r="X34" s="82"/>
      <c r="Y34" s="82"/>
      <c r="Z34" s="82"/>
      <c r="AA34" s="82"/>
      <c r="AB34" s="82"/>
    </row>
    <row r="35" spans="1:28" ht="15" customHeight="1">
      <c r="A35" s="283" t="s">
        <v>40</v>
      </c>
      <c r="B35" s="419">
        <v>0</v>
      </c>
      <c r="C35" s="206"/>
      <c r="D35" s="680">
        <f>B35*86</f>
        <v>0</v>
      </c>
      <c r="E35" s="680"/>
      <c r="F35" s="680"/>
      <c r="G35" s="233"/>
      <c r="H35" s="198"/>
      <c r="I35" s="13"/>
      <c r="J35" s="13"/>
      <c r="O35" s="82"/>
      <c r="P35" s="82"/>
      <c r="Q35" s="82"/>
      <c r="R35" s="199"/>
      <c r="S35" s="199"/>
      <c r="T35" s="82"/>
      <c r="U35" s="82"/>
      <c r="V35" s="82"/>
      <c r="W35" s="82"/>
      <c r="X35" s="82"/>
      <c r="Y35" s="82"/>
      <c r="Z35" s="82"/>
      <c r="AA35" s="82"/>
      <c r="AB35" s="82"/>
    </row>
    <row r="36" spans="1:28" ht="15" customHeight="1">
      <c r="A36" s="292" t="s">
        <v>336</v>
      </c>
      <c r="B36" s="293"/>
      <c r="C36" s="293"/>
      <c r="D36" s="675">
        <f>(1+B19+B20+B23+B26)*D35</f>
        <v>0</v>
      </c>
      <c r="E36" s="675"/>
      <c r="F36" s="675"/>
      <c r="G36" s="294"/>
      <c r="H36" s="198"/>
      <c r="I36" s="13"/>
      <c r="J36" s="13"/>
      <c r="O36" s="82"/>
      <c r="P36" s="82"/>
      <c r="Q36" s="82"/>
      <c r="R36" s="199"/>
      <c r="S36" s="199"/>
      <c r="T36" s="82"/>
      <c r="U36" s="82"/>
      <c r="V36" s="82"/>
      <c r="W36" s="82"/>
      <c r="X36" s="82"/>
      <c r="Y36" s="82"/>
      <c r="Z36" s="82"/>
      <c r="AA36" s="82"/>
      <c r="AB36" s="82"/>
    </row>
    <row r="37" spans="1:28" ht="15" customHeight="1">
      <c r="A37" s="287"/>
      <c r="B37" s="287"/>
      <c r="C37" s="287"/>
      <c r="D37" s="287"/>
      <c r="E37" s="287"/>
      <c r="F37" s="287"/>
      <c r="G37" s="288"/>
      <c r="H37" s="198"/>
      <c r="I37" s="13"/>
      <c r="J37" s="13"/>
      <c r="O37" s="82"/>
      <c r="P37" s="82"/>
      <c r="Q37" s="82"/>
      <c r="R37" s="199"/>
      <c r="S37" s="199"/>
      <c r="T37" s="82"/>
      <c r="U37" s="82"/>
      <c r="V37" s="82"/>
      <c r="W37" s="82"/>
      <c r="X37" s="82"/>
      <c r="Y37" s="82"/>
      <c r="Z37" s="82"/>
      <c r="AA37" s="82"/>
      <c r="AB37" s="82"/>
    </row>
    <row r="38" spans="1:28">
      <c r="A38" s="204" t="s">
        <v>97</v>
      </c>
      <c r="B38" s="205"/>
      <c r="C38" s="205"/>
      <c r="D38" s="676">
        <f>Ablauf!D15</f>
        <v>0</v>
      </c>
      <c r="E38" s="676"/>
      <c r="F38" s="676"/>
      <c r="G38" s="233"/>
      <c r="H38" s="203"/>
      <c r="I38" s="55"/>
      <c r="J38" s="55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</row>
    <row r="39" spans="1:28">
      <c r="A39" s="289" t="s">
        <v>327</v>
      </c>
      <c r="B39" s="205"/>
      <c r="C39" s="205"/>
      <c r="D39" s="676"/>
      <c r="E39" s="676"/>
      <c r="F39" s="676"/>
      <c r="G39" s="233"/>
      <c r="H39" s="203"/>
      <c r="I39" s="55"/>
      <c r="J39" s="55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</row>
    <row r="40" spans="1:28" ht="15">
      <c r="A40" s="283" t="s">
        <v>329</v>
      </c>
      <c r="B40" s="284"/>
      <c r="C40" s="284"/>
      <c r="D40" s="674">
        <f>SUM(D38:F39)</f>
        <v>0</v>
      </c>
      <c r="E40" s="674"/>
      <c r="F40" s="674"/>
      <c r="G40" s="285"/>
      <c r="H40" s="203"/>
      <c r="I40" s="55"/>
      <c r="J40" s="55"/>
    </row>
    <row r="41" spans="1:28" ht="15" customHeight="1">
      <c r="A41" s="292" t="s">
        <v>338</v>
      </c>
      <c r="B41" s="293"/>
      <c r="C41" s="293"/>
      <c r="D41" s="675">
        <f>(1+B19+B20+B23+B26)*D40</f>
        <v>0</v>
      </c>
      <c r="E41" s="675"/>
      <c r="F41" s="675"/>
      <c r="G41" s="294"/>
      <c r="H41" s="198"/>
      <c r="I41" s="13"/>
      <c r="J41" s="13"/>
      <c r="O41" s="82"/>
      <c r="P41" s="82"/>
      <c r="Q41" s="82"/>
      <c r="R41" s="199"/>
      <c r="S41" s="199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ht="15" customHeight="1">
      <c r="A42" s="287"/>
      <c r="B42" s="287"/>
      <c r="C42" s="287"/>
      <c r="D42" s="287"/>
      <c r="E42" s="287"/>
      <c r="F42" s="287"/>
      <c r="G42" s="288"/>
      <c r="H42" s="198"/>
      <c r="I42" s="13"/>
      <c r="J42" s="13"/>
      <c r="O42" s="82"/>
      <c r="P42" s="82"/>
      <c r="Q42" s="82"/>
      <c r="R42" s="199"/>
      <c r="S42" s="199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ht="19.5" customHeight="1">
      <c r="A43" s="302" t="s">
        <v>339</v>
      </c>
      <c r="B43" s="303"/>
      <c r="C43" s="678">
        <f>D41+D36+D33+D27*Menge</f>
        <v>1300</v>
      </c>
      <c r="D43" s="679"/>
      <c r="E43" s="679"/>
      <c r="F43" s="679"/>
      <c r="G43" s="301"/>
      <c r="H43" s="198"/>
      <c r="I43" s="13"/>
      <c r="J43" s="13"/>
      <c r="O43" s="82"/>
      <c r="P43" s="82"/>
      <c r="Q43" s="82"/>
      <c r="R43" s="199"/>
      <c r="S43" s="199"/>
      <c r="T43" s="82"/>
      <c r="U43" s="82"/>
      <c r="V43" s="82"/>
      <c r="W43" s="82"/>
      <c r="X43" s="82"/>
      <c r="Y43" s="82"/>
      <c r="Z43" s="82"/>
      <c r="AA43" s="82"/>
      <c r="AB43" s="82"/>
    </row>
    <row r="44" spans="1:28" s="218" customFormat="1" ht="27" customHeight="1">
      <c r="A44" s="213" t="s">
        <v>95</v>
      </c>
      <c r="B44" s="214"/>
      <c r="C44" s="215"/>
      <c r="D44" s="216"/>
      <c r="E44" s="216"/>
      <c r="F44" s="216"/>
      <c r="G44" s="234"/>
      <c r="H44" s="217"/>
      <c r="I44" s="217"/>
      <c r="J44" s="217"/>
      <c r="K44" s="216"/>
      <c r="L44" s="216"/>
      <c r="M44" s="216"/>
    </row>
    <row r="45" spans="1:28" s="218" customFormat="1" ht="11.25">
      <c r="A45" s="219" t="s">
        <v>248</v>
      </c>
      <c r="B45" s="685">
        <f>D14</f>
        <v>16.666666666666668</v>
      </c>
      <c r="C45" s="685"/>
      <c r="D45" s="685"/>
      <c r="E45" s="685"/>
      <c r="F45" s="685"/>
      <c r="G45" s="685"/>
      <c r="K45" s="216"/>
      <c r="L45" s="216"/>
      <c r="M45" s="216"/>
    </row>
    <row r="46" spans="1:28" s="218" customFormat="1" ht="11.25">
      <c r="A46" s="219" t="s">
        <v>31</v>
      </c>
      <c r="B46" s="687">
        <f>D17/Ablauf!$D$9</f>
        <v>229.83698158687258</v>
      </c>
      <c r="C46" s="687"/>
      <c r="D46" s="687"/>
      <c r="E46" s="687"/>
      <c r="F46" s="687"/>
      <c r="G46" s="687"/>
      <c r="H46" s="220"/>
      <c r="I46" s="220"/>
      <c r="J46" s="221"/>
      <c r="K46" s="216"/>
      <c r="L46" s="216"/>
      <c r="M46" s="216"/>
    </row>
    <row r="47" spans="1:28" s="218" customFormat="1" ht="11.25">
      <c r="A47" s="219" t="s">
        <v>330</v>
      </c>
      <c r="B47" s="687">
        <f>D21/(D16*Menge)</f>
        <v>263.23085762286792</v>
      </c>
      <c r="C47" s="687"/>
      <c r="D47" s="687"/>
      <c r="E47" s="687"/>
      <c r="F47" s="687"/>
      <c r="G47" s="687"/>
      <c r="H47" s="220"/>
      <c r="I47" s="220"/>
      <c r="J47" s="221"/>
      <c r="K47" s="216"/>
      <c r="L47" s="216"/>
      <c r="M47" s="216"/>
    </row>
    <row r="48" spans="1:28" s="218" customFormat="1" ht="11.25">
      <c r="A48" s="219" t="s">
        <v>32</v>
      </c>
      <c r="B48" s="688">
        <f>D14*60/Ablauf!$D$9</f>
        <v>270.27027027027032</v>
      </c>
      <c r="C48" s="688"/>
      <c r="D48" s="688"/>
      <c r="E48" s="688"/>
      <c r="F48" s="688"/>
      <c r="G48" s="688"/>
      <c r="H48" s="222"/>
      <c r="I48" s="222"/>
      <c r="J48" s="221"/>
      <c r="K48" s="216"/>
      <c r="L48" s="216"/>
      <c r="M48" s="216"/>
    </row>
    <row r="49" spans="1:28" s="218" customFormat="1" ht="11.25">
      <c r="A49" s="219" t="s">
        <v>33</v>
      </c>
      <c r="B49" s="688">
        <f>G14*60</f>
        <v>16.282285714285717</v>
      </c>
      <c r="C49" s="688"/>
      <c r="D49" s="688"/>
      <c r="E49" s="688"/>
      <c r="F49" s="688"/>
      <c r="G49" s="688"/>
      <c r="H49" s="223"/>
      <c r="I49" s="223"/>
      <c r="J49" s="221"/>
      <c r="K49" s="216"/>
      <c r="L49" s="216"/>
      <c r="M49" s="216"/>
    </row>
    <row r="50" spans="1:28" s="218" customFormat="1" ht="27" customHeight="1">
      <c r="A50" s="213" t="s">
        <v>300</v>
      </c>
      <c r="B50" s="224"/>
      <c r="C50" s="224"/>
      <c r="D50" s="224"/>
      <c r="E50" s="224"/>
      <c r="F50" s="225"/>
      <c r="G50" s="235"/>
      <c r="H50" s="223"/>
      <c r="I50" s="223"/>
      <c r="J50" s="221"/>
      <c r="K50" s="216"/>
      <c r="L50" s="216"/>
      <c r="M50" s="216"/>
    </row>
    <row r="51" spans="1:28" s="218" customFormat="1" ht="11.25">
      <c r="A51" s="219" t="s">
        <v>57</v>
      </c>
      <c r="B51" s="686">
        <f>SUMIF(Ablauf!$I$20:$I$59,1,Ablauf!$L$20:$L$59)</f>
        <v>160</v>
      </c>
      <c r="C51" s="686"/>
      <c r="D51" s="686"/>
      <c r="E51" s="686"/>
      <c r="F51" s="686"/>
      <c r="G51" s="686"/>
      <c r="H51" s="223" t="str">
        <f t="shared" ref="H51:H56" si="0">TEXT(B51,"000")</f>
        <v>160</v>
      </c>
      <c r="I51" s="226" t="str">
        <f>H51&amp;H52&amp;H53&amp;H54&amp;H55&amp;H56</f>
        <v>160440130130070070</v>
      </c>
      <c r="J51" s="221"/>
      <c r="K51" s="216"/>
      <c r="L51" s="216"/>
      <c r="M51" s="216"/>
    </row>
    <row r="52" spans="1:28" s="218" customFormat="1" ht="11.25">
      <c r="A52" s="219" t="s">
        <v>253</v>
      </c>
      <c r="B52" s="686">
        <f>SUMIF(Ablauf!$I$20:$I$59,2,Ablauf!$L$20:$L$59)</f>
        <v>440</v>
      </c>
      <c r="C52" s="686"/>
      <c r="D52" s="686"/>
      <c r="E52" s="686"/>
      <c r="F52" s="686"/>
      <c r="G52" s="686"/>
      <c r="H52" s="223" t="str">
        <f>TEXT(B52,"000")</f>
        <v>440</v>
      </c>
      <c r="K52" s="216"/>
      <c r="L52" s="216"/>
      <c r="M52" s="216"/>
    </row>
    <row r="53" spans="1:28" s="218" customFormat="1" ht="11.25">
      <c r="A53" s="219" t="s">
        <v>284</v>
      </c>
      <c r="B53" s="686">
        <f>SUMIF(Ablauf!$I$20:$I$59,3,Ablauf!$L$20:$L$59)</f>
        <v>130</v>
      </c>
      <c r="C53" s="686"/>
      <c r="D53" s="686"/>
      <c r="E53" s="686"/>
      <c r="F53" s="686"/>
      <c r="G53" s="686"/>
      <c r="H53" s="223" t="str">
        <f t="shared" si="0"/>
        <v>130</v>
      </c>
      <c r="J53" s="221"/>
      <c r="K53" s="216"/>
      <c r="L53" s="216"/>
      <c r="M53" s="216"/>
    </row>
    <row r="54" spans="1:28" s="218" customFormat="1" ht="11.25">
      <c r="A54" s="219" t="s">
        <v>44</v>
      </c>
      <c r="B54" s="686">
        <f>SUMIF(Ablauf!$I$20:$I$59,4,Ablauf!$L$20:$L$59)</f>
        <v>130</v>
      </c>
      <c r="C54" s="686"/>
      <c r="D54" s="686"/>
      <c r="E54" s="686"/>
      <c r="F54" s="686"/>
      <c r="G54" s="686"/>
      <c r="H54" s="223" t="str">
        <f t="shared" si="0"/>
        <v>130</v>
      </c>
      <c r="J54" s="221"/>
      <c r="K54" s="216"/>
      <c r="L54" s="216"/>
      <c r="M54" s="216"/>
    </row>
    <row r="55" spans="1:28" s="218" customFormat="1" ht="11.25">
      <c r="A55" s="219" t="s">
        <v>254</v>
      </c>
      <c r="B55" s="686">
        <f>SUMIF(Ablauf!$I$20:$I$59,5,Ablauf!$L$20:$L$59)</f>
        <v>70</v>
      </c>
      <c r="C55" s="686"/>
      <c r="D55" s="686"/>
      <c r="E55" s="686"/>
      <c r="F55" s="686"/>
      <c r="G55" s="686"/>
      <c r="H55" s="223" t="str">
        <f t="shared" si="0"/>
        <v>070</v>
      </c>
      <c r="J55" s="221"/>
      <c r="K55" s="216"/>
      <c r="L55" s="216"/>
      <c r="M55" s="216"/>
    </row>
    <row r="56" spans="1:28" s="218" customFormat="1" ht="11.25">
      <c r="A56" s="219" t="s">
        <v>285</v>
      </c>
      <c r="B56" s="686">
        <f>SUMIF(Ablauf!$I$20:$I$59,6,Ablauf!$L$20:$L$59)</f>
        <v>70</v>
      </c>
      <c r="C56" s="686"/>
      <c r="D56" s="686"/>
      <c r="E56" s="686"/>
      <c r="F56" s="686"/>
      <c r="G56" s="686"/>
      <c r="H56" s="223" t="str">
        <f t="shared" si="0"/>
        <v>070</v>
      </c>
      <c r="J56" s="221"/>
      <c r="K56" s="216"/>
      <c r="L56" s="216"/>
      <c r="M56" s="216"/>
    </row>
    <row r="57" spans="1:28">
      <c r="A57" s="82"/>
      <c r="B57" s="82"/>
      <c r="C57" s="112"/>
      <c r="D57" s="112"/>
      <c r="E57" s="112"/>
      <c r="F57" s="82"/>
      <c r="G57" s="234"/>
      <c r="H57" s="82"/>
      <c r="I57" s="82"/>
      <c r="J57" s="82"/>
    </row>
    <row r="58" spans="1:28" s="241" customFormat="1" ht="11.25" customHeight="1">
      <c r="A58" s="182" t="s">
        <v>83</v>
      </c>
      <c r="B58" s="296" t="s">
        <v>294</v>
      </c>
      <c r="C58" s="239"/>
      <c r="D58" s="239" t="s">
        <v>295</v>
      </c>
      <c r="E58" s="239"/>
      <c r="F58" s="296" t="s">
        <v>296</v>
      </c>
      <c r="G58" s="240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2"/>
      <c r="V58" s="242"/>
      <c r="W58" s="242"/>
      <c r="X58" s="242"/>
      <c r="Y58" s="242"/>
      <c r="Z58" s="242"/>
      <c r="AA58" s="242"/>
      <c r="AB58" s="242"/>
    </row>
    <row r="59" spans="1:28" s="140" customFormat="1" ht="12" customHeight="1">
      <c r="A59" s="184" t="str">
        <f>"V "&amp;Ablauf!$C$1</f>
        <v>V 0.1</v>
      </c>
      <c r="B59" s="297" t="s">
        <v>84</v>
      </c>
      <c r="C59" s="186"/>
      <c r="D59" s="186" t="s">
        <v>298</v>
      </c>
      <c r="E59" s="186"/>
      <c r="F59" s="297" t="s">
        <v>297</v>
      </c>
      <c r="G59" s="236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82" customFormat="1">
      <c r="G60" s="230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</row>
    <row r="61" spans="1:28" s="82" customFormat="1">
      <c r="G61" s="230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</row>
    <row r="62" spans="1:28" s="82" customFormat="1">
      <c r="G62" s="230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</row>
    <row r="63" spans="1:28" s="82" customFormat="1">
      <c r="G63" s="230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</row>
    <row r="64" spans="1:28" s="82" customFormat="1">
      <c r="G64" s="230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</row>
    <row r="65" spans="7:28" s="82" customFormat="1">
      <c r="G65" s="230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</row>
    <row r="66" spans="7:28" s="82" customFormat="1">
      <c r="G66" s="230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</row>
    <row r="67" spans="7:28" s="82" customFormat="1">
      <c r="G67" s="230"/>
    </row>
    <row r="68" spans="7:28" s="82" customFormat="1">
      <c r="G68" s="230"/>
    </row>
    <row r="69" spans="7:28" s="82" customFormat="1">
      <c r="G69" s="230"/>
    </row>
    <row r="70" spans="7:28" s="82" customFormat="1">
      <c r="G70" s="230"/>
    </row>
    <row r="71" spans="7:28" s="82" customFormat="1">
      <c r="G71" s="230"/>
    </row>
    <row r="72" spans="7:28" s="82" customFormat="1">
      <c r="G72" s="230"/>
    </row>
    <row r="73" spans="7:28" s="82" customFormat="1">
      <c r="G73" s="230"/>
    </row>
    <row r="74" spans="7:28" s="82" customFormat="1">
      <c r="G74" s="230"/>
    </row>
    <row r="75" spans="7:28" s="82" customFormat="1">
      <c r="G75" s="230"/>
    </row>
    <row r="76" spans="7:28" s="82" customFormat="1">
      <c r="G76" s="230"/>
    </row>
    <row r="77" spans="7:28" s="82" customFormat="1">
      <c r="G77" s="230"/>
    </row>
    <row r="78" spans="7:28" s="82" customFormat="1">
      <c r="G78" s="230"/>
    </row>
    <row r="79" spans="7:28" s="82" customFormat="1">
      <c r="G79" s="230"/>
    </row>
    <row r="80" spans="7:28" s="82" customFormat="1">
      <c r="G80" s="230"/>
    </row>
    <row r="81" spans="7:7" s="82" customFormat="1">
      <c r="G81" s="230"/>
    </row>
    <row r="82" spans="7:7" s="82" customFormat="1">
      <c r="G82" s="230"/>
    </row>
    <row r="83" spans="7:7" s="82" customFormat="1">
      <c r="G83" s="230"/>
    </row>
  </sheetData>
  <mergeCells count="44">
    <mergeCell ref="B45:G45"/>
    <mergeCell ref="B54:G54"/>
    <mergeCell ref="B55:G55"/>
    <mergeCell ref="B56:G56"/>
    <mergeCell ref="B46:G46"/>
    <mergeCell ref="B48:G48"/>
    <mergeCell ref="B49:G49"/>
    <mergeCell ref="B51:G51"/>
    <mergeCell ref="B53:G53"/>
    <mergeCell ref="B52:G52"/>
    <mergeCell ref="B47:G47"/>
    <mergeCell ref="D10:F10"/>
    <mergeCell ref="D11:F11"/>
    <mergeCell ref="D14:F14"/>
    <mergeCell ref="D15:F15"/>
    <mergeCell ref="D16:F16"/>
    <mergeCell ref="D12:F12"/>
    <mergeCell ref="D13:F13"/>
    <mergeCell ref="B3:G3"/>
    <mergeCell ref="B5:G5"/>
    <mergeCell ref="B6:G6"/>
    <mergeCell ref="B4:G4"/>
    <mergeCell ref="D9:F9"/>
    <mergeCell ref="D41:F41"/>
    <mergeCell ref="C43:F43"/>
    <mergeCell ref="D30:F30"/>
    <mergeCell ref="D31:F31"/>
    <mergeCell ref="D38:F38"/>
    <mergeCell ref="D35:F35"/>
    <mergeCell ref="D40:F40"/>
    <mergeCell ref="D39:F39"/>
    <mergeCell ref="D36:F36"/>
    <mergeCell ref="D17:F17"/>
    <mergeCell ref="D32:F32"/>
    <mergeCell ref="D33:F33"/>
    <mergeCell ref="D19:F19"/>
    <mergeCell ref="D25:F25"/>
    <mergeCell ref="D20:F20"/>
    <mergeCell ref="D21:F21"/>
    <mergeCell ref="D23:F23"/>
    <mergeCell ref="D22:F22"/>
    <mergeCell ref="D24:F24"/>
    <mergeCell ref="D26:F26"/>
    <mergeCell ref="D27:F27"/>
  </mergeCells>
  <phoneticPr fontId="0" type="noConversion"/>
  <printOptions horizontalCentered="1"/>
  <pageMargins left="0.78740157480314965" right="0.78740157480314965" top="0.98425196850393704" bottom="0.82677165354330717" header="0.51181102362204722" footer="0.51181102362204722"/>
  <pageSetup paperSize="9" scale="83" orientation="portrait" r:id="rId1"/>
  <headerFooter alignWithMargins="0"/>
  <rowBreaks count="1" manualBreakCount="1">
    <brk id="56" max="16383" man="1"/>
  </rowBreaks>
  <drawing r:id="rId2"/>
  <legacyDrawing r:id="rId3"/>
  <controls>
    <mc:AlternateContent xmlns:mc="http://schemas.openxmlformats.org/markup-compatibility/2006">
      <mc:Choice Requires="x14">
        <control shapeId="6148" r:id="rId4" name="CommandButton1">
          <controlPr defaultSize="0" autoLine="0" r:id="rId5">
            <anchor moveWithCells="1">
              <from>
                <xdr:col>10</xdr:col>
                <xdr:colOff>409575</xdr:colOff>
                <xdr:row>43</xdr:row>
                <xdr:rowOff>0</xdr:rowOff>
              </from>
              <to>
                <xdr:col>14</xdr:col>
                <xdr:colOff>76200</xdr:colOff>
                <xdr:row>45</xdr:row>
                <xdr:rowOff>28575</xdr:rowOff>
              </to>
            </anchor>
          </controlPr>
        </control>
      </mc:Choice>
      <mc:Fallback>
        <control shapeId="614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59999389629810485"/>
  </sheetPr>
  <dimension ref="A1:V41"/>
  <sheetViews>
    <sheetView view="pageBreakPreview" topLeftCell="A6" zoomScaleNormal="100" zoomScaleSheetLayoutView="100" workbookViewId="0">
      <selection activeCell="G34" sqref="G34"/>
    </sheetView>
  </sheetViews>
  <sheetFormatPr baseColWidth="10" defaultRowHeight="12.75"/>
  <cols>
    <col min="1" max="1" width="36.85546875" customWidth="1"/>
    <col min="2" max="2" width="13.42578125" customWidth="1"/>
    <col min="3" max="5" width="7.42578125" customWidth="1"/>
    <col min="6" max="6" width="7.28515625" customWidth="1"/>
    <col min="7" max="7" width="11.140625" customWidth="1"/>
    <col min="8" max="13" width="11.42578125" hidden="1" customWidth="1"/>
    <col min="14" max="15" width="11.42578125" customWidth="1"/>
  </cols>
  <sheetData>
    <row r="1" spans="1:22" s="1" customFormat="1" ht="25.5" customHeight="1">
      <c r="A1" s="30" t="s">
        <v>270</v>
      </c>
      <c r="D1" s="27"/>
    </row>
    <row r="2" spans="1:22" s="1" customFormat="1" ht="18.75" customHeight="1">
      <c r="D2" s="27"/>
      <c r="N2" s="26"/>
      <c r="O2" s="26"/>
      <c r="P2" s="26"/>
      <c r="Q2" s="26"/>
      <c r="R2" s="26"/>
      <c r="S2" s="26"/>
      <c r="T2" s="26"/>
      <c r="U2" s="26"/>
      <c r="V2" s="26"/>
    </row>
    <row r="3" spans="1:22" s="1" customFormat="1" ht="18">
      <c r="A3" s="227" t="s">
        <v>64</v>
      </c>
      <c r="B3" s="691" t="str">
        <f>Ablauf!G9</f>
        <v>Div. Luftleitschilde</v>
      </c>
      <c r="C3" s="691"/>
      <c r="D3" s="691"/>
      <c r="E3" s="691"/>
      <c r="F3" s="691"/>
      <c r="N3" s="26"/>
      <c r="O3" s="26"/>
      <c r="P3" s="26"/>
      <c r="Q3" s="26"/>
      <c r="R3" s="26"/>
      <c r="S3" s="26"/>
      <c r="T3" s="26"/>
      <c r="U3" s="26"/>
      <c r="V3" s="26"/>
    </row>
    <row r="4" spans="1:22" s="1" customFormat="1" ht="18">
      <c r="A4" s="29" t="s">
        <v>63</v>
      </c>
      <c r="B4" s="692" t="str">
        <f>FA!C9</f>
        <v>215007SADI1</v>
      </c>
      <c r="C4" s="692"/>
      <c r="D4" s="692"/>
      <c r="E4" s="692"/>
      <c r="F4" s="692"/>
      <c r="N4" s="26"/>
      <c r="O4" s="26"/>
      <c r="P4" s="26"/>
      <c r="Q4" s="26"/>
      <c r="R4" s="26"/>
      <c r="S4" s="26"/>
      <c r="T4" s="26"/>
      <c r="U4" s="26"/>
      <c r="V4" s="26"/>
    </row>
    <row r="5" spans="1:22" s="1" customFormat="1" ht="14.25">
      <c r="A5" s="29" t="s">
        <v>98</v>
      </c>
      <c r="B5" s="693">
        <f>FA!C7</f>
        <v>0</v>
      </c>
      <c r="C5" s="693"/>
      <c r="D5" s="693"/>
      <c r="E5" s="693"/>
      <c r="F5" s="693"/>
      <c r="N5" s="26"/>
      <c r="O5" s="26"/>
      <c r="P5" s="26"/>
      <c r="Q5" s="26"/>
      <c r="R5" s="26"/>
      <c r="S5" s="26"/>
      <c r="T5" s="26"/>
      <c r="U5" s="26"/>
      <c r="V5" s="26"/>
    </row>
    <row r="6" spans="1:22" s="1" customFormat="1" ht="14.25">
      <c r="A6" s="29" t="s">
        <v>75</v>
      </c>
      <c r="B6" s="694">
        <f>FA!C13</f>
        <v>0</v>
      </c>
      <c r="C6" s="694"/>
      <c r="D6" s="694"/>
      <c r="E6" s="694"/>
      <c r="F6" s="694"/>
      <c r="N6" s="26"/>
      <c r="O6" s="26"/>
      <c r="P6" s="26"/>
      <c r="Q6" s="26"/>
      <c r="R6" s="26"/>
      <c r="S6" s="26"/>
      <c r="T6" s="26"/>
      <c r="U6" s="26"/>
      <c r="V6" s="26"/>
    </row>
    <row r="7" spans="1:22">
      <c r="D7" s="28"/>
      <c r="H7" s="1"/>
      <c r="I7" s="1"/>
      <c r="J7" s="1"/>
    </row>
    <row r="9" spans="1:22" ht="15">
      <c r="A9" s="36"/>
      <c r="C9" s="37" t="s">
        <v>127</v>
      </c>
      <c r="D9" s="37" t="s">
        <v>128</v>
      </c>
      <c r="E9" s="37" t="s">
        <v>129</v>
      </c>
      <c r="F9" s="38" t="s">
        <v>130</v>
      </c>
      <c r="H9" t="s">
        <v>131</v>
      </c>
      <c r="I9" t="s">
        <v>132</v>
      </c>
      <c r="K9" t="s">
        <v>133</v>
      </c>
    </row>
    <row r="10" spans="1:22" ht="15">
      <c r="A10" s="39" t="s">
        <v>134</v>
      </c>
      <c r="B10" s="422" t="s">
        <v>131</v>
      </c>
      <c r="C10" s="40">
        <f>IF(B10="ja",0,1)</f>
        <v>0</v>
      </c>
      <c r="D10" s="40">
        <f>IF(B10="ja",1,0)</f>
        <v>1</v>
      </c>
      <c r="E10" s="41">
        <v>0</v>
      </c>
      <c r="F10" s="42"/>
      <c r="H10" t="s">
        <v>135</v>
      </c>
      <c r="I10" t="s">
        <v>136</v>
      </c>
      <c r="K10" s="50" t="s">
        <v>188</v>
      </c>
    </row>
    <row r="11" spans="1:22" ht="15">
      <c r="A11" s="39" t="s">
        <v>137</v>
      </c>
      <c r="B11" s="423">
        <v>4150000</v>
      </c>
      <c r="C11" s="40">
        <f>IF(B11&lt;=49987,0,1)</f>
        <v>1</v>
      </c>
      <c r="D11" s="40">
        <f>IF(B11&gt;49987,0,1)</f>
        <v>0</v>
      </c>
      <c r="E11" s="41">
        <v>0</v>
      </c>
      <c r="F11" s="43"/>
      <c r="I11" t="s">
        <v>138</v>
      </c>
      <c r="K11" t="s">
        <v>139</v>
      </c>
    </row>
    <row r="12" spans="1:22" ht="15">
      <c r="A12" s="39" t="s">
        <v>140</v>
      </c>
      <c r="B12" s="423">
        <v>245644</v>
      </c>
      <c r="C12" s="40">
        <f>IF(B12&lt;=B11/10,1,0)</f>
        <v>1</v>
      </c>
      <c r="D12" s="40">
        <f>IF(B12&gt;=B11/10,1,0)</f>
        <v>0</v>
      </c>
      <c r="E12" s="41">
        <f>IF(B12&gt;=B11/2,1,0)</f>
        <v>0</v>
      </c>
      <c r="F12" s="43"/>
      <c r="I12" t="s">
        <v>141</v>
      </c>
      <c r="K12" t="s">
        <v>142</v>
      </c>
    </row>
    <row r="13" spans="1:22" ht="15">
      <c r="A13" s="39" t="s">
        <v>143</v>
      </c>
      <c r="B13" s="422" t="s">
        <v>135</v>
      </c>
      <c r="C13" s="40">
        <f>IF(B13="ja",0,1)</f>
        <v>1</v>
      </c>
      <c r="D13" s="40">
        <f>IF(B13="ja",1,0)</f>
        <v>0</v>
      </c>
      <c r="E13" s="41">
        <v>0</v>
      </c>
      <c r="F13" s="43"/>
    </row>
    <row r="14" spans="1:22" ht="15">
      <c r="A14" s="39" t="s">
        <v>144</v>
      </c>
      <c r="B14" s="422" t="s">
        <v>132</v>
      </c>
      <c r="C14" s="40">
        <f>IF(B14="HL",1,0)</f>
        <v>1</v>
      </c>
      <c r="D14" s="40">
        <f>IF(B14&lt;&gt;"HL",1,0)</f>
        <v>0</v>
      </c>
      <c r="E14" s="41">
        <v>0</v>
      </c>
      <c r="F14" s="43"/>
      <c r="J14">
        <v>20</v>
      </c>
      <c r="K14" t="s">
        <v>145</v>
      </c>
    </row>
    <row r="15" spans="1:22" ht="15">
      <c r="A15" s="39" t="s">
        <v>146</v>
      </c>
      <c r="B15" s="422" t="s">
        <v>135</v>
      </c>
      <c r="C15" s="40">
        <f>IF(B15="ja",0,1)</f>
        <v>1</v>
      </c>
      <c r="D15" s="40">
        <f>IF(B15="ja",1,0)</f>
        <v>0</v>
      </c>
      <c r="E15" s="41">
        <v>0</v>
      </c>
      <c r="F15" s="43"/>
      <c r="J15">
        <v>40</v>
      </c>
      <c r="K15" t="s">
        <v>147</v>
      </c>
    </row>
    <row r="16" spans="1:22" ht="15">
      <c r="A16" s="39" t="s">
        <v>148</v>
      </c>
      <c r="B16" s="422" t="s">
        <v>131</v>
      </c>
      <c r="C16" s="40">
        <f t="shared" ref="C16:C24" si="0">IF(B16="ja",1,0)</f>
        <v>1</v>
      </c>
      <c r="D16" s="40">
        <f>IF(B16="ja",0,1)</f>
        <v>0</v>
      </c>
      <c r="E16" s="41">
        <f>IF(AND(B27&lt;2,B16="nein"),1,0)</f>
        <v>0</v>
      </c>
      <c r="F16" s="43"/>
      <c r="J16">
        <v>60</v>
      </c>
      <c r="K16" t="s">
        <v>5</v>
      </c>
    </row>
    <row r="17" spans="1:12" ht="15">
      <c r="A17" s="39" t="s">
        <v>149</v>
      </c>
      <c r="B17" s="422" t="s">
        <v>131</v>
      </c>
      <c r="C17" s="40">
        <f t="shared" si="0"/>
        <v>1</v>
      </c>
      <c r="D17" s="40">
        <f>IF(B17="ja",0,1)</f>
        <v>0</v>
      </c>
      <c r="E17" s="41">
        <v>0</v>
      </c>
      <c r="F17" s="43"/>
      <c r="J17">
        <v>90</v>
      </c>
      <c r="K17" t="s">
        <v>150</v>
      </c>
    </row>
    <row r="18" spans="1:12" ht="15">
      <c r="A18" s="39" t="s">
        <v>151</v>
      </c>
      <c r="B18" s="422" t="s">
        <v>131</v>
      </c>
      <c r="C18" s="40">
        <f t="shared" si="0"/>
        <v>1</v>
      </c>
      <c r="D18" s="40">
        <f>IF(B18="ja",0,1)</f>
        <v>0</v>
      </c>
      <c r="E18" s="41">
        <v>0</v>
      </c>
      <c r="F18" s="43"/>
      <c r="J18">
        <v>120</v>
      </c>
      <c r="K18" t="s">
        <v>152</v>
      </c>
    </row>
    <row r="19" spans="1:12" ht="15">
      <c r="A19" s="39" t="s">
        <v>153</v>
      </c>
      <c r="B19" s="422" t="s">
        <v>135</v>
      </c>
      <c r="C19" s="40">
        <f>IF(B19="ja",0,1)</f>
        <v>1</v>
      </c>
      <c r="D19" s="40">
        <f>IF(B19="ja",1,0)</f>
        <v>0</v>
      </c>
      <c r="E19" s="41">
        <v>0</v>
      </c>
      <c r="F19" s="43"/>
      <c r="J19">
        <v>140</v>
      </c>
      <c r="K19" t="s">
        <v>154</v>
      </c>
    </row>
    <row r="20" spans="1:12" ht="15">
      <c r="A20" s="39" t="s">
        <v>155</v>
      </c>
      <c r="B20" s="422" t="s">
        <v>131</v>
      </c>
      <c r="C20" s="40">
        <f>IF(B20="ja",1,0)</f>
        <v>1</v>
      </c>
      <c r="D20" s="40">
        <v>0</v>
      </c>
      <c r="E20" s="41">
        <f>IF(B20="ja",0,1)</f>
        <v>0</v>
      </c>
      <c r="F20" s="43"/>
      <c r="J20" s="44">
        <f>SUM(C10:C34)+SUM(D10:D34)*10+SUM(E10:E34)*50</f>
        <v>86</v>
      </c>
      <c r="K20" s="44" t="s">
        <v>156</v>
      </c>
      <c r="L20" s="44"/>
    </row>
    <row r="21" spans="1:12" ht="15">
      <c r="A21" s="39" t="s">
        <v>157</v>
      </c>
      <c r="B21" s="422" t="s">
        <v>131</v>
      </c>
      <c r="C21" s="40">
        <f t="shared" si="0"/>
        <v>1</v>
      </c>
      <c r="D21" s="40">
        <v>0</v>
      </c>
      <c r="E21" s="41">
        <f>IF(B21="ja",0,1)</f>
        <v>0</v>
      </c>
      <c r="F21" s="43"/>
    </row>
    <row r="22" spans="1:12" ht="15">
      <c r="A22" s="39" t="s">
        <v>158</v>
      </c>
      <c r="B22" s="422" t="s">
        <v>131</v>
      </c>
      <c r="C22" s="40">
        <f t="shared" si="0"/>
        <v>1</v>
      </c>
      <c r="D22" s="40">
        <v>0</v>
      </c>
      <c r="E22" s="41">
        <f>IF(B22="ja",0,1)</f>
        <v>0</v>
      </c>
      <c r="F22" s="43"/>
    </row>
    <row r="23" spans="1:12" ht="15">
      <c r="A23" s="39" t="s">
        <v>159</v>
      </c>
      <c r="B23" s="422" t="s">
        <v>131</v>
      </c>
      <c r="C23" s="40">
        <f t="shared" si="0"/>
        <v>1</v>
      </c>
      <c r="D23" s="40">
        <v>0</v>
      </c>
      <c r="E23" s="41">
        <f>IF(B23="ja",0,1)</f>
        <v>0</v>
      </c>
      <c r="F23" s="43"/>
    </row>
    <row r="24" spans="1:12" ht="15">
      <c r="A24" s="39" t="s">
        <v>160</v>
      </c>
      <c r="B24" s="422" t="s">
        <v>131</v>
      </c>
      <c r="C24" s="40">
        <f t="shared" si="0"/>
        <v>1</v>
      </c>
      <c r="D24" s="40">
        <v>0</v>
      </c>
      <c r="E24" s="41">
        <f>IF(B24="ja",0,1)</f>
        <v>0</v>
      </c>
      <c r="F24" s="43"/>
    </row>
    <row r="25" spans="1:12" ht="15">
      <c r="A25" s="39" t="s">
        <v>161</v>
      </c>
      <c r="B25" s="422" t="s">
        <v>135</v>
      </c>
      <c r="C25" s="40">
        <f>IF(B25="ja",0,1)</f>
        <v>1</v>
      </c>
      <c r="D25" s="40">
        <f>IF(B25="ja",1,0)</f>
        <v>0</v>
      </c>
      <c r="E25" s="41">
        <v>0</v>
      </c>
      <c r="F25" s="43"/>
    </row>
    <row r="26" spans="1:12" ht="15">
      <c r="A26" s="39" t="s">
        <v>162</v>
      </c>
      <c r="B26" s="422" t="s">
        <v>131</v>
      </c>
      <c r="C26" s="40">
        <f>IF(B26="ja",0,1)</f>
        <v>0</v>
      </c>
      <c r="D26" s="40">
        <f>IF(B26="ja",1,0)</f>
        <v>1</v>
      </c>
      <c r="E26" s="41">
        <v>0</v>
      </c>
      <c r="F26" s="43">
        <f>IF(B26="ja",4*(B27+1),1)</f>
        <v>4</v>
      </c>
    </row>
    <row r="27" spans="1:12" ht="15">
      <c r="A27" s="39" t="s">
        <v>163</v>
      </c>
      <c r="B27" s="422">
        <v>0</v>
      </c>
      <c r="C27" s="40">
        <v>0</v>
      </c>
      <c r="D27" s="40">
        <v>0</v>
      </c>
      <c r="E27" s="41">
        <v>0</v>
      </c>
      <c r="F27" s="43"/>
    </row>
    <row r="28" spans="1:12" ht="15">
      <c r="A28" s="39" t="s">
        <v>164</v>
      </c>
      <c r="B28" s="422" t="s">
        <v>131</v>
      </c>
      <c r="C28" s="40">
        <f>IF(B28="ja",0,1)</f>
        <v>0</v>
      </c>
      <c r="D28" s="40">
        <f>IF(B28="ja",1,0)</f>
        <v>1</v>
      </c>
      <c r="E28" s="41">
        <v>0</v>
      </c>
      <c r="F28" s="43">
        <f>IF(B28="ja",3*(B27+1),1)</f>
        <v>3</v>
      </c>
    </row>
    <row r="29" spans="1:12" ht="15">
      <c r="A29" s="39" t="s">
        <v>165</v>
      </c>
      <c r="B29" s="422">
        <f>SUM(F10:F34)</f>
        <v>7</v>
      </c>
      <c r="C29" s="40">
        <v>0</v>
      </c>
      <c r="D29" s="40">
        <v>0</v>
      </c>
      <c r="E29" s="41">
        <v>0</v>
      </c>
      <c r="F29" s="43"/>
    </row>
    <row r="30" spans="1:12" ht="15">
      <c r="A30" s="49" t="s">
        <v>184</v>
      </c>
      <c r="B30" s="422">
        <v>130</v>
      </c>
      <c r="C30" s="40">
        <f>IF(B30&gt;(F28+F26+B29*Menge),1,0)</f>
        <v>1</v>
      </c>
      <c r="D30" s="40">
        <f>IF(B30&lt;((F28+F26+B29*Menge)*1.2),1,0)</f>
        <v>0</v>
      </c>
      <c r="E30" s="41">
        <f>IF(B30&lt;(F28+F26+B29*Menge),1,0)</f>
        <v>0</v>
      </c>
      <c r="F30" s="43"/>
    </row>
    <row r="31" spans="1:12" ht="15">
      <c r="A31" s="39" t="s">
        <v>166</v>
      </c>
      <c r="B31" s="422" t="s">
        <v>131</v>
      </c>
      <c r="C31" s="40">
        <f>IF(B31="ja",0,1)</f>
        <v>0</v>
      </c>
      <c r="D31" s="40">
        <f>IF(B31="ja",1,0)</f>
        <v>1</v>
      </c>
      <c r="E31" s="41">
        <v>0</v>
      </c>
      <c r="F31" s="43"/>
    </row>
    <row r="32" spans="1:12" ht="15">
      <c r="A32" s="39" t="s">
        <v>167</v>
      </c>
      <c r="B32" s="422" t="s">
        <v>131</v>
      </c>
      <c r="C32" s="40">
        <f>IF(B32="ja",0,1)</f>
        <v>0</v>
      </c>
      <c r="D32" s="40">
        <f>IF(B32="ja",1,0)</f>
        <v>1</v>
      </c>
      <c r="E32" s="41">
        <v>0</v>
      </c>
      <c r="F32" s="43"/>
    </row>
    <row r="33" spans="1:6" ht="15">
      <c r="A33" s="39" t="s">
        <v>168</v>
      </c>
      <c r="B33" s="422" t="s">
        <v>135</v>
      </c>
      <c r="C33" s="40">
        <f>IF(B33="ja",1,0)</f>
        <v>0</v>
      </c>
      <c r="D33" s="40">
        <f>IF(B33="ja",0,1)</f>
        <v>1</v>
      </c>
      <c r="E33" s="41">
        <v>0</v>
      </c>
      <c r="F33" s="43"/>
    </row>
    <row r="34" spans="1:6" ht="15">
      <c r="A34" s="39" t="s">
        <v>169</v>
      </c>
      <c r="B34" s="422" t="s">
        <v>135</v>
      </c>
      <c r="C34" s="40">
        <f>IF(B34="ja",1,0)</f>
        <v>0</v>
      </c>
      <c r="D34" s="40">
        <f>IF(B34="ja",0,1)</f>
        <v>1</v>
      </c>
      <c r="E34" s="41">
        <v>0</v>
      </c>
      <c r="F34" s="43"/>
    </row>
    <row r="35" spans="1:6" ht="13.5" thickBot="1">
      <c r="A35" s="45"/>
      <c r="B35" s="45"/>
      <c r="C35" s="142"/>
      <c r="D35" s="142"/>
      <c r="E35" s="142"/>
    </row>
    <row r="36" spans="1:6" ht="21.75" thickBot="1">
      <c r="A36" s="46" t="s">
        <v>170</v>
      </c>
      <c r="B36" s="46"/>
      <c r="C36" s="689" t="str">
        <f>VLOOKUP(J20,J14:K19,2)</f>
        <v>Normal</v>
      </c>
      <c r="D36" s="689"/>
      <c r="E36" s="689"/>
      <c r="F36" s="689"/>
    </row>
    <row r="37" spans="1:6" ht="21.75" thickBot="1">
      <c r="A37" s="46" t="s">
        <v>171</v>
      </c>
      <c r="B37" s="46"/>
      <c r="C37" s="690" t="str">
        <f>IF(AND(B10="ja",B11&lt;40000,J20&gt;90),#REF!,IF(AND(B10="ja",B11&lt;89025),K9,IF(AND(B10="ja",B11&gt;89025),K10,IF(AND(B10="nein",B11&lt;89025),K11,IF(AND(B10="nein",B11&gt;89025),K12,0)))))</f>
        <v>21 Tage Netto</v>
      </c>
      <c r="D37" s="690"/>
      <c r="E37" s="690"/>
      <c r="F37" s="690"/>
    </row>
    <row r="39" spans="1:6" ht="14.25">
      <c r="A39" s="182" t="s">
        <v>83</v>
      </c>
      <c r="B39" s="296" t="s">
        <v>294</v>
      </c>
      <c r="C39" s="296" t="s">
        <v>295</v>
      </c>
      <c r="D39" s="142"/>
      <c r="E39" s="296" t="s">
        <v>296</v>
      </c>
      <c r="F39" s="183"/>
    </row>
    <row r="40" spans="1:6" ht="14.25">
      <c r="A40" s="184" t="str">
        <f>"V "&amp;Ablauf!C1</f>
        <v>V 0.1</v>
      </c>
      <c r="B40" s="297" t="s">
        <v>84</v>
      </c>
      <c r="C40" s="297" t="s">
        <v>298</v>
      </c>
      <c r="D40" s="170"/>
      <c r="E40" s="297" t="s">
        <v>297</v>
      </c>
      <c r="F40" s="185"/>
    </row>
    <row r="41" spans="1:6" ht="42.6" customHeight="1"/>
  </sheetData>
  <mergeCells count="6">
    <mergeCell ref="C36:F36"/>
    <mergeCell ref="C37:F37"/>
    <mergeCell ref="B3:F3"/>
    <mergeCell ref="B4:F4"/>
    <mergeCell ref="B5:F5"/>
    <mergeCell ref="B6:F6"/>
  </mergeCells>
  <conditionalFormatting sqref="C10:C14 C26:C29 C16:C24 C31:C32">
    <cfRule type="cellIs" dxfId="16" priority="19" operator="equal">
      <formula>1</formula>
    </cfRule>
  </conditionalFormatting>
  <conditionalFormatting sqref="D10:D14 D26:D29 D16:D24 D31:D32">
    <cfRule type="cellIs" dxfId="15" priority="18" operator="equal">
      <formula>1</formula>
    </cfRule>
  </conditionalFormatting>
  <conditionalFormatting sqref="E10:E24 E26:E29 E31:E32">
    <cfRule type="cellIs" dxfId="14" priority="17" operator="equal">
      <formula>1</formula>
    </cfRule>
  </conditionalFormatting>
  <conditionalFormatting sqref="C33">
    <cfRule type="cellIs" dxfId="13" priority="16" operator="equal">
      <formula>1</formula>
    </cfRule>
  </conditionalFormatting>
  <conditionalFormatting sqref="D33">
    <cfRule type="cellIs" dxfId="12" priority="15" operator="equal">
      <formula>1</formula>
    </cfRule>
  </conditionalFormatting>
  <conditionalFormatting sqref="E33">
    <cfRule type="cellIs" dxfId="11" priority="14" operator="equal">
      <formula>1</formula>
    </cfRule>
  </conditionalFormatting>
  <conditionalFormatting sqref="C25">
    <cfRule type="cellIs" dxfId="10" priority="13" operator="equal">
      <formula>1</formula>
    </cfRule>
  </conditionalFormatting>
  <conditionalFormatting sqref="D25">
    <cfRule type="cellIs" dxfId="9" priority="12" operator="equal">
      <formula>1</formula>
    </cfRule>
  </conditionalFormatting>
  <conditionalFormatting sqref="E25">
    <cfRule type="cellIs" dxfId="8" priority="11" operator="equal">
      <formula>1</formula>
    </cfRule>
  </conditionalFormatting>
  <conditionalFormatting sqref="C34">
    <cfRule type="cellIs" dxfId="7" priority="8" operator="equal">
      <formula>1</formula>
    </cfRule>
  </conditionalFormatting>
  <conditionalFormatting sqref="D34">
    <cfRule type="cellIs" dxfId="6" priority="7" operator="equal">
      <formula>1</formula>
    </cfRule>
  </conditionalFormatting>
  <conditionalFormatting sqref="C15">
    <cfRule type="cellIs" dxfId="5" priority="10" operator="equal">
      <formula>1</formula>
    </cfRule>
  </conditionalFormatting>
  <conditionalFormatting sqref="D15">
    <cfRule type="cellIs" dxfId="4" priority="9" operator="equal">
      <formula>1</formula>
    </cfRule>
  </conditionalFormatting>
  <conditionalFormatting sqref="E34">
    <cfRule type="cellIs" dxfId="3" priority="6" operator="equal">
      <formula>1</formula>
    </cfRule>
  </conditionalFormatting>
  <conditionalFormatting sqref="C30">
    <cfRule type="cellIs" dxfId="2" priority="3" operator="equal">
      <formula>1</formula>
    </cfRule>
  </conditionalFormatting>
  <conditionalFormatting sqref="D30">
    <cfRule type="cellIs" dxfId="1" priority="2" operator="equal">
      <formula>1</formula>
    </cfRule>
  </conditionalFormatting>
  <conditionalFormatting sqref="E30">
    <cfRule type="cellIs" dxfId="0" priority="1" operator="equal">
      <formula>1</formula>
    </cfRule>
  </conditionalFormatting>
  <dataValidations count="2">
    <dataValidation type="list" allowBlank="1" showInputMessage="1" showErrorMessage="1" sqref="B14">
      <formula1>$I$9:$I$12</formula1>
    </dataValidation>
    <dataValidation type="list" allowBlank="1" showInputMessage="1" showErrorMessage="1" sqref="B10 B31:B34 B13 B15:B26 B28">
      <formula1>$H$9:$H$10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6" tint="0.39997558519241921"/>
  </sheetPr>
  <dimension ref="A1:AG134"/>
  <sheetViews>
    <sheetView view="pageBreakPreview" zoomScaleNormal="100" zoomScaleSheetLayoutView="100" workbookViewId="0">
      <selection activeCell="C13" sqref="C13:E13"/>
    </sheetView>
  </sheetViews>
  <sheetFormatPr baseColWidth="10" defaultRowHeight="14.25"/>
  <cols>
    <col min="1" max="1" width="3.7109375" style="424" customWidth="1"/>
    <col min="2" max="2" width="27.42578125" style="424" customWidth="1"/>
    <col min="3" max="4" width="22.7109375" style="424" customWidth="1"/>
    <col min="5" max="5" width="24.42578125" style="424" customWidth="1"/>
    <col min="6" max="6" width="11.42578125" style="424"/>
    <col min="7" max="25" width="11.42578125" style="459" hidden="1" customWidth="1"/>
    <col min="26" max="27" width="11.42578125" style="424" hidden="1" customWidth="1"/>
    <col min="28" max="28" width="0" style="424" hidden="1" customWidth="1"/>
    <col min="29" max="16384" width="11.42578125" style="424"/>
  </cols>
  <sheetData>
    <row r="1" spans="1:33" ht="39" customHeight="1">
      <c r="E1" s="695" t="s">
        <v>54</v>
      </c>
      <c r="G1" s="426" t="s">
        <v>70</v>
      </c>
      <c r="H1" s="47" t="s">
        <v>172</v>
      </c>
      <c r="I1" s="427" t="s">
        <v>173</v>
      </c>
      <c r="J1" s="427" t="s">
        <v>174</v>
      </c>
      <c r="K1" s="426" t="s">
        <v>78</v>
      </c>
      <c r="L1" s="428" t="s">
        <v>175</v>
      </c>
      <c r="M1" s="428" t="s">
        <v>176</v>
      </c>
      <c r="N1" s="428" t="s">
        <v>79</v>
      </c>
      <c r="O1" s="428" t="s">
        <v>177</v>
      </c>
      <c r="P1" s="428" t="s">
        <v>80</v>
      </c>
      <c r="Q1" s="429" t="s">
        <v>178</v>
      </c>
      <c r="R1" s="428" t="s">
        <v>179</v>
      </c>
      <c r="S1" s="428" t="s">
        <v>180</v>
      </c>
      <c r="T1" s="428" t="s">
        <v>76</v>
      </c>
      <c r="U1" s="428" t="s">
        <v>181</v>
      </c>
      <c r="V1" s="430" t="s">
        <v>182</v>
      </c>
      <c r="W1" s="430" t="s">
        <v>183</v>
      </c>
      <c r="X1" s="431" t="s">
        <v>67</v>
      </c>
      <c r="Y1" s="431" t="s">
        <v>51</v>
      </c>
    </row>
    <row r="2" spans="1:33" ht="12.75" customHeight="1">
      <c r="E2" s="695"/>
      <c r="G2" s="432">
        <v>42020.464050925926</v>
      </c>
      <c r="H2" s="48" t="s">
        <v>571</v>
      </c>
      <c r="I2" s="433" t="s">
        <v>572</v>
      </c>
      <c r="J2" s="433" t="s">
        <v>573</v>
      </c>
      <c r="K2" s="432">
        <v>42020.464050925926</v>
      </c>
      <c r="L2" s="432"/>
      <c r="M2" s="432"/>
      <c r="N2" s="432"/>
      <c r="O2" s="432"/>
      <c r="P2" s="432">
        <v>42012</v>
      </c>
      <c r="Q2" s="48" t="s">
        <v>574</v>
      </c>
      <c r="R2" s="432">
        <v>42045</v>
      </c>
      <c r="S2" s="432" t="s">
        <v>311</v>
      </c>
      <c r="T2" s="432"/>
      <c r="U2" s="432">
        <v>42045</v>
      </c>
      <c r="V2" s="432" t="s">
        <v>575</v>
      </c>
      <c r="W2" s="432"/>
      <c r="X2" s="434"/>
      <c r="Y2" s="433"/>
    </row>
    <row r="3" spans="1:33" s="440" customFormat="1" ht="24.95" customHeight="1">
      <c r="A3" s="698" t="s">
        <v>82</v>
      </c>
      <c r="B3" s="698"/>
      <c r="C3" s="435"/>
      <c r="D3" s="436" t="s">
        <v>185</v>
      </c>
      <c r="E3" s="437">
        <f>Ablauf!F3</f>
        <v>670</v>
      </c>
      <c r="F3" s="438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8"/>
      <c r="AA3" s="438"/>
      <c r="AB3" s="438"/>
      <c r="AC3" s="438"/>
      <c r="AD3" s="438"/>
      <c r="AE3" s="438"/>
      <c r="AF3" s="438"/>
      <c r="AG3" s="438"/>
    </row>
    <row r="4" spans="1:33" s="440" customFormat="1" ht="24.95" customHeight="1">
      <c r="A4" s="699" t="s">
        <v>64</v>
      </c>
      <c r="B4" s="699"/>
      <c r="C4" s="696" t="str">
        <f>Ablauf!G9</f>
        <v>Div. Luftleitschilde</v>
      </c>
      <c r="D4" s="696"/>
      <c r="E4" s="696"/>
      <c r="F4" s="438"/>
      <c r="G4" s="439"/>
      <c r="H4" s="439"/>
      <c r="I4" s="439"/>
      <c r="J4" s="439"/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8"/>
      <c r="AA4" s="438"/>
      <c r="AB4" s="438"/>
      <c r="AC4" s="438"/>
      <c r="AD4" s="438"/>
      <c r="AE4" s="438"/>
      <c r="AF4" s="438"/>
      <c r="AG4" s="438"/>
    </row>
    <row r="5" spans="1:33" s="440" customFormat="1" ht="8.25" customHeight="1">
      <c r="A5" s="700" t="s">
        <v>78</v>
      </c>
      <c r="B5" s="700"/>
      <c r="C5" s="441" t="s">
        <v>70</v>
      </c>
      <c r="D5" s="441" t="s">
        <v>67</v>
      </c>
      <c r="E5" s="441" t="s">
        <v>81</v>
      </c>
      <c r="F5" s="438"/>
      <c r="G5" s="439"/>
      <c r="H5" s="439"/>
      <c r="I5" s="439"/>
      <c r="J5" s="439"/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8"/>
      <c r="AA5" s="438"/>
      <c r="AB5" s="438"/>
      <c r="AC5" s="438"/>
      <c r="AD5" s="438"/>
      <c r="AE5" s="438"/>
      <c r="AF5" s="438"/>
      <c r="AG5" s="438"/>
    </row>
    <row r="6" spans="1:33" s="440" customFormat="1" ht="18" customHeight="1">
      <c r="A6" s="700"/>
      <c r="B6" s="700"/>
      <c r="C6" s="442">
        <f>K2</f>
        <v>42020.464050925926</v>
      </c>
      <c r="D6" s="443" t="s">
        <v>302</v>
      </c>
      <c r="E6" s="443"/>
      <c r="F6" s="438"/>
      <c r="G6" s="439"/>
      <c r="H6" s="439"/>
      <c r="I6" s="439"/>
      <c r="J6" s="439"/>
      <c r="K6" s="439"/>
      <c r="L6" s="439"/>
      <c r="M6" s="439"/>
      <c r="N6" s="439"/>
      <c r="O6" s="439"/>
      <c r="P6" s="439"/>
      <c r="Q6" s="439"/>
      <c r="R6" s="439"/>
      <c r="S6" s="439"/>
      <c r="T6" s="439"/>
      <c r="U6" s="439"/>
      <c r="V6" s="439"/>
      <c r="W6" s="439"/>
      <c r="X6" s="439"/>
      <c r="Y6" s="439"/>
      <c r="Z6" s="438"/>
      <c r="AA6" s="438"/>
      <c r="AB6" s="438"/>
      <c r="AC6" s="438"/>
      <c r="AD6" s="438"/>
      <c r="AE6" s="438"/>
      <c r="AF6" s="438"/>
      <c r="AG6" s="438"/>
    </row>
    <row r="7" spans="1:33" s="440" customFormat="1" ht="24.75" customHeight="1">
      <c r="A7" s="700" t="s">
        <v>79</v>
      </c>
      <c r="B7" s="700"/>
      <c r="C7" s="444">
        <f>N2</f>
        <v>0</v>
      </c>
      <c r="D7" s="445" t="s">
        <v>302</v>
      </c>
      <c r="E7" s="446"/>
      <c r="F7" s="438"/>
      <c r="G7" s="439"/>
      <c r="H7" s="439"/>
      <c r="I7" s="439"/>
      <c r="J7" s="439"/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8"/>
      <c r="AA7" s="438"/>
      <c r="AB7" s="438"/>
      <c r="AC7" s="438"/>
      <c r="AD7" s="438"/>
      <c r="AE7" s="438"/>
      <c r="AF7" s="438"/>
      <c r="AG7" s="438"/>
    </row>
    <row r="8" spans="1:33" s="440" customFormat="1" ht="24.75" customHeight="1">
      <c r="A8" s="700" t="s">
        <v>80</v>
      </c>
      <c r="B8" s="700"/>
      <c r="C8" s="444">
        <f>P2</f>
        <v>42012</v>
      </c>
      <c r="D8" s="445"/>
      <c r="E8" s="446">
        <f>R2</f>
        <v>42045</v>
      </c>
      <c r="F8" s="438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39"/>
      <c r="W8" s="439"/>
      <c r="X8" s="439"/>
      <c r="Y8" s="439"/>
      <c r="Z8" s="438"/>
      <c r="AA8" s="438"/>
      <c r="AB8" s="438"/>
      <c r="AC8" s="438"/>
      <c r="AD8" s="438"/>
      <c r="AE8" s="438"/>
      <c r="AF8" s="438"/>
      <c r="AG8" s="438"/>
    </row>
    <row r="9" spans="1:33" s="440" customFormat="1" ht="24.75" customHeight="1">
      <c r="A9" s="700" t="s">
        <v>251</v>
      </c>
      <c r="B9" s="700"/>
      <c r="C9" s="447" t="str">
        <f>UPPER(C10&amp;LEFT(I2,2)&amp;LEFT(C4,2)&amp;E11)</f>
        <v>215007SADI1</v>
      </c>
      <c r="D9" s="697" t="str">
        <f>code128(C9)</f>
        <v>Ò5R'ÍSADI1rÓ</v>
      </c>
      <c r="E9" s="697"/>
      <c r="F9" s="438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439"/>
      <c r="X9" s="439"/>
      <c r="Y9" s="439"/>
      <c r="Z9" s="438"/>
      <c r="AA9" s="438"/>
      <c r="AB9" s="438"/>
      <c r="AC9" s="438"/>
      <c r="AD9" s="438"/>
      <c r="AE9" s="438"/>
      <c r="AF9" s="438"/>
      <c r="AG9" s="438"/>
    </row>
    <row r="10" spans="1:33" s="440" customFormat="1" ht="24.75" customHeight="1">
      <c r="A10" s="700" t="s">
        <v>252</v>
      </c>
      <c r="B10" s="700"/>
      <c r="C10" s="448" t="str">
        <f>Q2</f>
        <v>215007</v>
      </c>
      <c r="D10" s="449" t="s">
        <v>304</v>
      </c>
      <c r="E10" s="450">
        <f>Menge</f>
        <v>1</v>
      </c>
      <c r="F10" s="438"/>
      <c r="G10" s="439"/>
      <c r="H10" s="439"/>
      <c r="I10" s="439"/>
      <c r="J10" s="439"/>
      <c r="K10" s="439"/>
      <c r="L10" s="439"/>
      <c r="M10" s="439"/>
      <c r="N10" s="439"/>
      <c r="O10" s="439"/>
      <c r="P10" s="439"/>
      <c r="Q10" s="439"/>
      <c r="R10" s="439"/>
      <c r="S10" s="439"/>
      <c r="T10" s="439"/>
      <c r="U10" s="439"/>
      <c r="V10" s="439"/>
      <c r="W10" s="439"/>
      <c r="X10" s="439"/>
      <c r="Y10" s="439"/>
      <c r="Z10" s="438"/>
      <c r="AA10" s="438"/>
      <c r="AB10" s="438"/>
      <c r="AC10" s="438"/>
      <c r="AD10" s="438"/>
      <c r="AE10" s="438"/>
      <c r="AF10" s="438"/>
      <c r="AG10" s="438"/>
    </row>
    <row r="11" spans="1:33" s="440" customFormat="1" ht="24.75" customHeight="1">
      <c r="A11" s="700" t="s">
        <v>65</v>
      </c>
      <c r="B11" s="700"/>
      <c r="C11" s="451" t="s">
        <v>310</v>
      </c>
      <c r="D11" s="452" t="s">
        <v>309</v>
      </c>
      <c r="E11" s="453">
        <f>Teilprojekt</f>
        <v>1</v>
      </c>
      <c r="F11" s="438"/>
      <c r="G11" s="439"/>
      <c r="H11" s="439"/>
      <c r="I11" s="439"/>
      <c r="J11" s="439"/>
      <c r="K11" s="439"/>
      <c r="L11" s="439"/>
      <c r="M11" s="439"/>
      <c r="N11" s="439"/>
      <c r="O11" s="439"/>
      <c r="P11" s="439"/>
      <c r="Q11" s="439"/>
      <c r="R11" s="439"/>
      <c r="S11" s="439"/>
      <c r="T11" s="439"/>
      <c r="U11" s="439"/>
      <c r="V11" s="439"/>
      <c r="W11" s="439"/>
      <c r="X11" s="439"/>
      <c r="Y11" s="439"/>
      <c r="Z11" s="438"/>
      <c r="AA11" s="438"/>
      <c r="AB11" s="438"/>
      <c r="AC11" s="438"/>
      <c r="AD11" s="438"/>
      <c r="AE11" s="438"/>
      <c r="AF11" s="438"/>
      <c r="AG11" s="438"/>
    </row>
    <row r="12" spans="1:33" s="440" customFormat="1" ht="24.75" customHeight="1">
      <c r="A12" s="700" t="s">
        <v>66</v>
      </c>
      <c r="B12" s="700"/>
      <c r="C12" s="704" t="str">
        <f ca="1">LEFT(CELL("Dateiname",$A$1),FIND("[",CELL("Dateiname",$A$1))-2)</f>
        <v>X:\Auftragsmanagement</v>
      </c>
      <c r="D12" s="704"/>
      <c r="E12" s="704"/>
      <c r="F12" s="438"/>
      <c r="G12" s="439"/>
      <c r="H12" s="439"/>
      <c r="I12" s="439"/>
      <c r="J12" s="439"/>
      <c r="K12" s="439"/>
      <c r="L12" s="439"/>
      <c r="M12" s="439"/>
      <c r="N12" s="439"/>
      <c r="O12" s="439"/>
      <c r="P12" s="439"/>
      <c r="Q12" s="439"/>
      <c r="R12" s="439"/>
      <c r="S12" s="439"/>
      <c r="T12" s="439"/>
      <c r="U12" s="439"/>
      <c r="V12" s="439"/>
      <c r="W12" s="439"/>
      <c r="X12" s="439"/>
      <c r="Y12" s="439"/>
      <c r="Z12" s="438"/>
      <c r="AA12" s="438"/>
      <c r="AB12" s="438"/>
      <c r="AC12" s="438"/>
      <c r="AD12" s="438"/>
      <c r="AE12" s="438"/>
      <c r="AF12" s="438"/>
      <c r="AG12" s="438"/>
    </row>
    <row r="13" spans="1:33" s="440" customFormat="1" ht="24.75" customHeight="1">
      <c r="A13" s="700" t="s">
        <v>570</v>
      </c>
      <c r="B13" s="700"/>
      <c r="C13" s="703"/>
      <c r="D13" s="703"/>
      <c r="E13" s="703"/>
      <c r="F13" s="438"/>
      <c r="G13" s="439"/>
      <c r="H13" s="439"/>
      <c r="I13" s="439"/>
      <c r="J13" s="439"/>
      <c r="K13" s="439"/>
      <c r="L13" s="439"/>
      <c r="M13" s="439"/>
      <c r="N13" s="439"/>
      <c r="O13" s="439"/>
      <c r="P13" s="439"/>
      <c r="Q13" s="439"/>
      <c r="R13" s="439"/>
      <c r="S13" s="439"/>
      <c r="T13" s="439"/>
      <c r="U13" s="439"/>
      <c r="V13" s="439"/>
      <c r="W13" s="439"/>
      <c r="X13" s="439"/>
      <c r="Y13" s="439"/>
      <c r="Z13" s="438"/>
      <c r="AA13" s="438"/>
      <c r="AB13" s="438"/>
      <c r="AC13" s="438"/>
      <c r="AD13" s="438"/>
      <c r="AE13" s="438"/>
      <c r="AF13" s="438"/>
      <c r="AG13" s="438"/>
    </row>
    <row r="14" spans="1:33" s="440" customFormat="1" ht="24.75" customHeight="1">
      <c r="A14" s="700" t="s">
        <v>74</v>
      </c>
      <c r="B14" s="700"/>
      <c r="C14" s="701" t="str">
        <f>V2</f>
        <v>Fr.Leipner</v>
      </c>
      <c r="D14" s="702"/>
      <c r="E14" s="702"/>
      <c r="F14" s="438"/>
      <c r="G14" s="439"/>
      <c r="H14" s="439"/>
      <c r="I14" s="439"/>
      <c r="J14" s="439"/>
      <c r="K14" s="439"/>
      <c r="L14" s="439"/>
      <c r="M14" s="439"/>
      <c r="N14" s="439"/>
      <c r="O14" s="439"/>
      <c r="P14" s="439"/>
      <c r="Q14" s="439"/>
      <c r="R14" s="439"/>
      <c r="S14" s="439"/>
      <c r="T14" s="439"/>
      <c r="U14" s="439"/>
      <c r="V14" s="439"/>
      <c r="W14" s="439"/>
      <c r="X14" s="439"/>
      <c r="Y14" s="439"/>
      <c r="Z14" s="438"/>
      <c r="AA14" s="438"/>
      <c r="AB14" s="438"/>
      <c r="AC14" s="438"/>
      <c r="AD14" s="438"/>
      <c r="AE14" s="438"/>
      <c r="AF14" s="438"/>
      <c r="AG14" s="438"/>
    </row>
    <row r="15" spans="1:33" s="440" customFormat="1" ht="24.75" customHeight="1">
      <c r="A15" s="700" t="s">
        <v>86</v>
      </c>
      <c r="B15" s="700"/>
      <c r="C15" s="454">
        <f>W2</f>
        <v>0</v>
      </c>
      <c r="D15" s="445"/>
      <c r="E15" s="445"/>
      <c r="F15" s="438"/>
      <c r="G15" s="439"/>
      <c r="H15" s="439"/>
      <c r="I15" s="439"/>
      <c r="J15" s="439"/>
      <c r="K15" s="439"/>
      <c r="L15" s="439"/>
      <c r="M15" s="439"/>
      <c r="N15" s="439"/>
      <c r="O15" s="439"/>
      <c r="P15" s="439"/>
      <c r="Q15" s="439"/>
      <c r="R15" s="439"/>
      <c r="S15" s="439"/>
      <c r="T15" s="439"/>
      <c r="U15" s="439"/>
      <c r="V15" s="439"/>
      <c r="W15" s="439"/>
      <c r="X15" s="439"/>
      <c r="Y15" s="439"/>
      <c r="Z15" s="438"/>
      <c r="AA15" s="438"/>
      <c r="AB15" s="438"/>
      <c r="AC15" s="438"/>
      <c r="AD15" s="438"/>
      <c r="AE15" s="438"/>
      <c r="AF15" s="438"/>
      <c r="AG15" s="438"/>
    </row>
    <row r="16" spans="1:33" s="440" customFormat="1" ht="6" customHeight="1">
      <c r="B16" s="438"/>
      <c r="C16" s="455"/>
      <c r="D16" s="438"/>
      <c r="E16" s="438"/>
      <c r="F16" s="438"/>
      <c r="G16" s="439"/>
      <c r="H16" s="439"/>
      <c r="I16" s="439"/>
      <c r="J16" s="439"/>
      <c r="K16" s="439"/>
      <c r="L16" s="439"/>
      <c r="M16" s="439"/>
      <c r="N16" s="439"/>
      <c r="O16" s="439"/>
      <c r="P16" s="439"/>
      <c r="Q16" s="439"/>
      <c r="R16" s="439"/>
      <c r="S16" s="439"/>
      <c r="T16" s="439"/>
      <c r="U16" s="439"/>
      <c r="V16" s="439"/>
      <c r="W16" s="439"/>
      <c r="X16" s="439"/>
      <c r="Y16" s="439"/>
      <c r="Z16" s="438"/>
      <c r="AA16" s="438"/>
      <c r="AB16" s="438"/>
      <c r="AC16" s="438"/>
      <c r="AD16" s="438"/>
      <c r="AE16" s="438"/>
      <c r="AF16" s="438"/>
      <c r="AG16" s="438"/>
    </row>
    <row r="17" spans="1:33" s="440" customFormat="1" ht="19.5" customHeight="1">
      <c r="A17" s="435" t="s">
        <v>77</v>
      </c>
      <c r="B17" s="435"/>
      <c r="C17" s="435"/>
      <c r="D17" s="436" t="s">
        <v>72</v>
      </c>
      <c r="E17" s="436" t="s">
        <v>71</v>
      </c>
      <c r="F17" s="438"/>
      <c r="G17" s="439"/>
      <c r="H17" s="439"/>
      <c r="I17" s="439"/>
      <c r="J17" s="439"/>
      <c r="K17" s="439"/>
      <c r="L17" s="439"/>
      <c r="M17" s="439"/>
      <c r="N17" s="439"/>
      <c r="O17" s="439"/>
      <c r="P17" s="439"/>
      <c r="Q17" s="439"/>
      <c r="R17" s="439"/>
      <c r="S17" s="439"/>
      <c r="T17" s="439"/>
      <c r="U17" s="439"/>
      <c r="V17" s="439"/>
      <c r="W17" s="439"/>
      <c r="X17" s="439"/>
      <c r="Y17" s="439"/>
      <c r="Z17" s="438"/>
      <c r="AA17" s="438"/>
      <c r="AB17" s="438"/>
      <c r="AC17" s="438"/>
      <c r="AD17" s="438"/>
      <c r="AE17" s="438"/>
      <c r="AF17" s="438"/>
      <c r="AG17" s="438"/>
    </row>
    <row r="18" spans="1:33" s="440" customFormat="1" ht="18" customHeight="1">
      <c r="A18" s="707" t="str">
        <f>IF(Ablauf!A62=0,"",Ablauf!A62=0)</f>
        <v/>
      </c>
      <c r="B18" s="707"/>
      <c r="C18" s="707"/>
      <c r="D18" s="490"/>
      <c r="E18" s="456"/>
      <c r="F18" s="438"/>
      <c r="G18" s="439"/>
      <c r="H18" s="439"/>
      <c r="I18" s="439"/>
      <c r="J18" s="439"/>
      <c r="K18" s="439"/>
      <c r="L18" s="439"/>
      <c r="M18" s="439"/>
      <c r="N18" s="439"/>
      <c r="O18" s="439"/>
      <c r="P18" s="439"/>
      <c r="Q18" s="439"/>
      <c r="R18" s="439"/>
      <c r="S18" s="439"/>
      <c r="T18" s="439"/>
      <c r="U18" s="439"/>
      <c r="V18" s="439"/>
      <c r="W18" s="439"/>
      <c r="X18" s="439"/>
      <c r="Y18" s="439"/>
      <c r="Z18" s="438"/>
      <c r="AA18" s="438"/>
      <c r="AB18" s="438"/>
      <c r="AC18" s="438"/>
      <c r="AD18" s="438"/>
      <c r="AE18" s="438"/>
      <c r="AF18" s="438"/>
      <c r="AG18" s="438"/>
    </row>
    <row r="19" spans="1:33" s="440" customFormat="1" ht="18" customHeight="1">
      <c r="A19" s="707" t="str">
        <f>IF(Ablauf!A63=0,"",Ablauf!A63=0)</f>
        <v/>
      </c>
      <c r="B19" s="707"/>
      <c r="C19" s="707"/>
      <c r="D19" s="491"/>
      <c r="E19" s="457"/>
      <c r="F19" s="438"/>
      <c r="G19" s="439"/>
      <c r="H19" s="439"/>
      <c r="I19" s="439"/>
      <c r="J19" s="439"/>
      <c r="K19" s="439"/>
      <c r="L19" s="439"/>
      <c r="M19" s="439"/>
      <c r="N19" s="439"/>
      <c r="O19" s="439"/>
      <c r="P19" s="439"/>
      <c r="Q19" s="439"/>
      <c r="R19" s="439"/>
      <c r="S19" s="439"/>
      <c r="T19" s="439"/>
      <c r="U19" s="439"/>
      <c r="V19" s="439"/>
      <c r="W19" s="439"/>
      <c r="X19" s="439"/>
      <c r="Y19" s="439"/>
      <c r="Z19" s="438"/>
      <c r="AA19" s="438"/>
      <c r="AB19" s="438"/>
      <c r="AC19" s="438"/>
      <c r="AD19" s="438"/>
      <c r="AE19" s="438"/>
      <c r="AF19" s="438"/>
      <c r="AG19" s="438"/>
    </row>
    <row r="20" spans="1:33" s="440" customFormat="1" ht="18" customHeight="1">
      <c r="A20" s="707" t="str">
        <f>IF(Ablauf!A64=0,"",Ablauf!A64=0)</f>
        <v/>
      </c>
      <c r="B20" s="707"/>
      <c r="C20" s="707"/>
      <c r="D20" s="491"/>
      <c r="E20" s="457"/>
      <c r="F20" s="438"/>
      <c r="G20" s="439"/>
      <c r="H20" s="439"/>
      <c r="I20" s="439"/>
      <c r="J20" s="439"/>
      <c r="K20" s="439"/>
      <c r="L20" s="439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438"/>
      <c r="AA20" s="438"/>
      <c r="AB20" s="438"/>
      <c r="AC20" s="438"/>
      <c r="AD20" s="438"/>
      <c r="AE20" s="438"/>
      <c r="AF20" s="438"/>
      <c r="AG20" s="438"/>
    </row>
    <row r="21" spans="1:33" s="440" customFormat="1" ht="18" customHeight="1">
      <c r="A21" s="707" t="str">
        <f>IF(Ablauf!A65=0,"",Ablauf!A65=0)</f>
        <v/>
      </c>
      <c r="B21" s="707"/>
      <c r="C21" s="707"/>
      <c r="D21" s="491"/>
      <c r="E21" s="457"/>
      <c r="F21" s="438"/>
      <c r="G21" s="439"/>
      <c r="H21" s="439"/>
      <c r="I21" s="439"/>
      <c r="J21" s="439"/>
      <c r="K21" s="439"/>
      <c r="L21" s="439"/>
      <c r="M21" s="439"/>
      <c r="N21" s="439"/>
      <c r="O21" s="439"/>
      <c r="P21" s="439"/>
      <c r="Q21" s="439"/>
      <c r="R21" s="439"/>
      <c r="S21" s="439"/>
      <c r="T21" s="439"/>
      <c r="U21" s="439"/>
      <c r="V21" s="439"/>
      <c r="W21" s="439"/>
      <c r="X21" s="439"/>
      <c r="Y21" s="439"/>
      <c r="Z21" s="438"/>
      <c r="AA21" s="438"/>
      <c r="AB21" s="438"/>
      <c r="AC21" s="438"/>
      <c r="AD21" s="438"/>
      <c r="AE21" s="438"/>
      <c r="AF21" s="438"/>
      <c r="AG21" s="438"/>
    </row>
    <row r="22" spans="1:33" s="440" customFormat="1" ht="6" customHeight="1">
      <c r="B22" s="438"/>
      <c r="C22" s="438"/>
      <c r="D22" s="438"/>
      <c r="E22" s="438"/>
      <c r="F22" s="438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  <c r="V22" s="439"/>
      <c r="W22" s="439"/>
      <c r="X22" s="439"/>
      <c r="Y22" s="439"/>
      <c r="Z22" s="438"/>
      <c r="AA22" s="438"/>
      <c r="AB22" s="438"/>
      <c r="AC22" s="438"/>
      <c r="AD22" s="438"/>
      <c r="AE22" s="438"/>
      <c r="AF22" s="438"/>
      <c r="AG22" s="438"/>
    </row>
    <row r="23" spans="1:33" s="440" customFormat="1" ht="18" customHeight="1">
      <c r="A23" s="708" t="s">
        <v>73</v>
      </c>
      <c r="B23" s="708"/>
      <c r="C23" s="708"/>
      <c r="D23" s="436" t="s">
        <v>69</v>
      </c>
      <c r="E23" s="436" t="s">
        <v>70</v>
      </c>
      <c r="F23" s="438"/>
      <c r="G23" s="439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438"/>
      <c r="AA23" s="438"/>
      <c r="AB23" s="438"/>
      <c r="AC23" s="438"/>
      <c r="AD23" s="438"/>
      <c r="AE23" s="438"/>
      <c r="AF23" s="438"/>
      <c r="AG23" s="438"/>
    </row>
    <row r="24" spans="1:33" s="440" customFormat="1" ht="18" customHeight="1">
      <c r="A24" s="706"/>
      <c r="B24" s="706"/>
      <c r="C24" s="706"/>
      <c r="D24" s="491"/>
      <c r="E24" s="457"/>
      <c r="F24" s="438"/>
      <c r="G24" s="439"/>
      <c r="H24" s="439"/>
      <c r="I24" s="439"/>
      <c r="J24" s="439"/>
      <c r="K24" s="439"/>
      <c r="L24" s="439"/>
      <c r="M24" s="439"/>
      <c r="N24" s="439"/>
      <c r="O24" s="439"/>
      <c r="P24" s="439"/>
      <c r="Q24" s="439"/>
      <c r="R24" s="439"/>
      <c r="S24" s="439"/>
      <c r="T24" s="439"/>
      <c r="U24" s="439"/>
      <c r="V24" s="439"/>
      <c r="W24" s="439"/>
      <c r="X24" s="439"/>
      <c r="Y24" s="439"/>
      <c r="Z24" s="438"/>
      <c r="AA24" s="438"/>
      <c r="AB24" s="438"/>
    </row>
    <row r="25" spans="1:33" s="440" customFormat="1" ht="18" customHeight="1">
      <c r="A25" s="706"/>
      <c r="B25" s="706"/>
      <c r="C25" s="706"/>
      <c r="D25" s="491"/>
      <c r="E25" s="457"/>
      <c r="F25" s="438"/>
      <c r="G25" s="439"/>
      <c r="H25" s="439"/>
      <c r="I25" s="439"/>
      <c r="J25" s="439"/>
      <c r="K25" s="439"/>
      <c r="L25" s="439"/>
      <c r="M25" s="439"/>
      <c r="N25" s="439"/>
      <c r="O25" s="439"/>
      <c r="P25" s="439"/>
      <c r="Q25" s="439"/>
      <c r="R25" s="439"/>
      <c r="S25" s="439"/>
      <c r="T25" s="439"/>
      <c r="U25" s="439"/>
      <c r="V25" s="439"/>
      <c r="W25" s="439"/>
      <c r="X25" s="439"/>
      <c r="Y25" s="439"/>
      <c r="Z25" s="438"/>
      <c r="AA25" s="438"/>
      <c r="AB25" s="438"/>
    </row>
    <row r="26" spans="1:33" s="440" customFormat="1" ht="18" customHeight="1">
      <c r="A26" s="706"/>
      <c r="B26" s="706"/>
      <c r="C26" s="706"/>
      <c r="D26" s="491"/>
      <c r="E26" s="457"/>
      <c r="F26" s="438"/>
      <c r="G26" s="439"/>
      <c r="H26" s="439"/>
      <c r="I26" s="439"/>
      <c r="J26" s="439"/>
      <c r="K26" s="439"/>
      <c r="L26" s="439"/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8"/>
      <c r="AA26" s="438"/>
      <c r="AB26" s="438"/>
    </row>
    <row r="27" spans="1:33">
      <c r="A27" s="492"/>
      <c r="B27" s="492"/>
      <c r="C27" s="492"/>
      <c r="D27" s="492"/>
      <c r="E27" s="458"/>
    </row>
    <row r="28" spans="1:33" s="440" customFormat="1" ht="6" customHeight="1">
      <c r="B28" s="438"/>
      <c r="C28" s="438"/>
      <c r="D28" s="438"/>
      <c r="E28" s="438"/>
      <c r="F28" s="438"/>
      <c r="G28" s="439"/>
      <c r="H28" s="439"/>
      <c r="I28" s="439"/>
      <c r="J28" s="439"/>
      <c r="K28" s="439"/>
      <c r="L28" s="439"/>
      <c r="M28" s="439"/>
      <c r="N28" s="439"/>
      <c r="O28" s="439"/>
      <c r="P28" s="439"/>
      <c r="Q28" s="439"/>
      <c r="R28" s="439"/>
      <c r="S28" s="439"/>
      <c r="T28" s="439"/>
      <c r="U28" s="439"/>
      <c r="V28" s="439"/>
      <c r="W28" s="439"/>
      <c r="X28" s="439"/>
      <c r="Y28" s="439"/>
      <c r="Z28" s="438"/>
      <c r="AA28" s="438"/>
      <c r="AB28" s="438"/>
      <c r="AC28" s="438"/>
      <c r="AD28" s="438"/>
      <c r="AE28" s="438"/>
      <c r="AF28" s="438"/>
      <c r="AG28" s="438"/>
    </row>
    <row r="29" spans="1:33" ht="15">
      <c r="A29" s="460" t="s">
        <v>268</v>
      </c>
      <c r="B29" s="461"/>
      <c r="C29" s="462"/>
      <c r="D29" s="461"/>
      <c r="E29" s="460"/>
      <c r="F29" s="459"/>
      <c r="W29" s="424"/>
      <c r="X29" s="424"/>
      <c r="Y29" s="424"/>
    </row>
    <row r="30" spans="1:33" ht="66.75" customHeight="1">
      <c r="A30" s="705" t="str">
        <f>IF(Ablauf!A68=0, "", Ablauf!A68)</f>
        <v/>
      </c>
      <c r="B30" s="705"/>
      <c r="C30" s="705"/>
      <c r="D30" s="705"/>
      <c r="E30" s="705"/>
      <c r="F30" s="459"/>
      <c r="W30" s="424"/>
      <c r="X30" s="424"/>
      <c r="Y30" s="424"/>
    </row>
    <row r="31" spans="1:33">
      <c r="F31" s="459"/>
      <c r="W31" s="424"/>
      <c r="X31" s="424"/>
      <c r="Y31" s="424"/>
    </row>
    <row r="32" spans="1:33" ht="15">
      <c r="A32" s="460" t="s">
        <v>307</v>
      </c>
      <c r="B32" s="461"/>
      <c r="C32" s="462"/>
      <c r="D32" s="461"/>
      <c r="E32" s="460"/>
      <c r="F32" s="459"/>
      <c r="W32" s="424"/>
      <c r="X32" s="424"/>
      <c r="Y32" s="424"/>
    </row>
    <row r="33" spans="1:27" ht="12" customHeight="1">
      <c r="A33" s="591" t="s">
        <v>527</v>
      </c>
      <c r="B33" s="597" t="s">
        <v>525</v>
      </c>
      <c r="C33" s="592" t="s">
        <v>528</v>
      </c>
      <c r="D33" s="592" t="s">
        <v>526</v>
      </c>
      <c r="E33" s="592" t="s">
        <v>530</v>
      </c>
      <c r="F33" s="459"/>
      <c r="W33" s="424"/>
      <c r="X33" s="424"/>
      <c r="Y33" s="424"/>
    </row>
    <row r="34" spans="1:27" ht="12" customHeight="1">
      <c r="A34" s="590">
        <f>Ablauf!A72</f>
        <v>1</v>
      </c>
      <c r="B34" s="606" t="str">
        <f>IF(Ablauf!B72=0,"",Ablauf!B72)</f>
        <v/>
      </c>
      <c r="C34" s="607" t="str">
        <f>IF(Ablauf!D72=0,"",Ablauf!D72)</f>
        <v/>
      </c>
      <c r="D34" s="598" t="str">
        <f>IF(Ablauf!E72=0,"",Ablauf!E72)</f>
        <v/>
      </c>
      <c r="E34" s="599" t="str">
        <f>IF(Ablauf!G72=0,"",Ablauf!G72)</f>
        <v/>
      </c>
      <c r="F34" s="459"/>
      <c r="W34" s="424"/>
      <c r="X34" s="424"/>
      <c r="Y34" s="424"/>
    </row>
    <row r="35" spans="1:27" ht="12" customHeight="1">
      <c r="A35" s="590">
        <f>Ablauf!A73</f>
        <v>2</v>
      </c>
      <c r="B35" s="606" t="str">
        <f>IF(Ablauf!B73=0,"",Ablauf!B73)</f>
        <v/>
      </c>
      <c r="C35" s="607" t="str">
        <f>IF(Ablauf!D73=0,"",Ablauf!D73)</f>
        <v/>
      </c>
      <c r="D35" s="598" t="str">
        <f>IF(Ablauf!E73=0,"",Ablauf!E73)</f>
        <v/>
      </c>
      <c r="E35" s="599" t="str">
        <f>IF(Ablauf!G73=0,"",Ablauf!G73)</f>
        <v/>
      </c>
      <c r="F35" s="459"/>
      <c r="W35" s="424"/>
      <c r="X35" s="424"/>
      <c r="Y35" s="424"/>
    </row>
    <row r="36" spans="1:27" ht="12" customHeight="1">
      <c r="A36" s="590">
        <f>Ablauf!A74</f>
        <v>3</v>
      </c>
      <c r="B36" s="606" t="str">
        <f>IF(Ablauf!B74=0,"",Ablauf!B74)</f>
        <v/>
      </c>
      <c r="C36" s="607" t="str">
        <f>IF(Ablauf!D74=0,"",Ablauf!D74)</f>
        <v/>
      </c>
      <c r="D36" s="598" t="str">
        <f>IF(Ablauf!E74=0,"",Ablauf!E74)</f>
        <v/>
      </c>
      <c r="E36" s="599" t="str">
        <f>IF(Ablauf!G74=0,"",Ablauf!G74)</f>
        <v/>
      </c>
      <c r="F36" s="459"/>
      <c r="W36" s="424"/>
      <c r="X36" s="424"/>
      <c r="Y36" s="424"/>
    </row>
    <row r="37" spans="1:27" ht="12" customHeight="1">
      <c r="A37" s="590">
        <f>Ablauf!A75</f>
        <v>4</v>
      </c>
      <c r="B37" s="606" t="str">
        <f>IF(Ablauf!B75=0,"",Ablauf!B75)</f>
        <v/>
      </c>
      <c r="C37" s="607" t="str">
        <f>IF(Ablauf!D75=0,"",Ablauf!D75)</f>
        <v/>
      </c>
      <c r="D37" s="598" t="str">
        <f>IF(Ablauf!E75=0,"",Ablauf!E75)</f>
        <v/>
      </c>
      <c r="E37" s="599" t="str">
        <f>IF(Ablauf!G75=0,"",Ablauf!G75)</f>
        <v/>
      </c>
      <c r="F37" s="459"/>
      <c r="W37" s="424"/>
      <c r="X37" s="424"/>
      <c r="Y37" s="424"/>
    </row>
    <row r="38" spans="1:27" ht="12" customHeight="1">
      <c r="A38" s="590">
        <f>Ablauf!A76</f>
        <v>5</v>
      </c>
      <c r="B38" s="606" t="str">
        <f>IF(Ablauf!B76=0,"",Ablauf!B76)</f>
        <v/>
      </c>
      <c r="C38" s="607" t="str">
        <f>IF(Ablauf!D76=0,"",Ablauf!D76)</f>
        <v/>
      </c>
      <c r="D38" s="598" t="str">
        <f>IF(Ablauf!E76=0,"",Ablauf!E76)</f>
        <v/>
      </c>
      <c r="E38" s="599" t="str">
        <f>IF(Ablauf!G76=0,"",Ablauf!G76)</f>
        <v/>
      </c>
      <c r="F38" s="459"/>
      <c r="W38" s="424"/>
      <c r="X38" s="424"/>
      <c r="Y38" s="424"/>
    </row>
    <row r="39" spans="1:27" ht="12" customHeight="1">
      <c r="A39" s="590">
        <f>Ablauf!A77</f>
        <v>6</v>
      </c>
      <c r="B39" s="606" t="str">
        <f>IF(Ablauf!B77=0,"",Ablauf!B77)</f>
        <v/>
      </c>
      <c r="C39" s="607" t="str">
        <f>IF(Ablauf!D77=0,"",Ablauf!D77)</f>
        <v/>
      </c>
      <c r="D39" s="598" t="str">
        <f>IF(Ablauf!E77=0,"",Ablauf!E77)</f>
        <v/>
      </c>
      <c r="E39" s="599" t="str">
        <f>IF(Ablauf!G77=0,"",Ablauf!G77)</f>
        <v/>
      </c>
      <c r="F39" s="459"/>
      <c r="W39" s="424"/>
      <c r="X39" s="424"/>
      <c r="Y39" s="424"/>
    </row>
    <row r="40" spans="1:27" ht="12" customHeight="1">
      <c r="A40" s="590">
        <f>Ablauf!A78</f>
        <v>7</v>
      </c>
      <c r="B40" s="606" t="str">
        <f>IF(Ablauf!B78=0,"",Ablauf!B78)</f>
        <v/>
      </c>
      <c r="C40" s="607" t="str">
        <f>IF(Ablauf!D78=0,"",Ablauf!D78)</f>
        <v/>
      </c>
      <c r="D40" s="598" t="str">
        <f>IF(Ablauf!E78=0,"",Ablauf!E78)</f>
        <v/>
      </c>
      <c r="E40" s="599" t="str">
        <f>IF(Ablauf!G78=0,"",Ablauf!G78)</f>
        <v/>
      </c>
      <c r="F40" s="459"/>
      <c r="W40" s="424"/>
      <c r="X40" s="424"/>
      <c r="Y40" s="424"/>
    </row>
    <row r="41" spans="1:27" ht="8.25" customHeight="1">
      <c r="A41" s="463"/>
      <c r="B41" s="463"/>
      <c r="C41" s="463"/>
      <c r="D41" s="463"/>
      <c r="E41" s="463"/>
      <c r="F41" s="459"/>
      <c r="W41" s="424"/>
      <c r="X41" s="424"/>
      <c r="Y41" s="424"/>
    </row>
    <row r="42" spans="1:27" s="466" customFormat="1" ht="10.5" customHeight="1">
      <c r="A42" s="710" t="s">
        <v>83</v>
      </c>
      <c r="B42" s="711"/>
      <c r="C42" s="464" t="s">
        <v>294</v>
      </c>
      <c r="D42" s="464" t="s">
        <v>295</v>
      </c>
      <c r="E42" s="465" t="s">
        <v>296</v>
      </c>
      <c r="G42" s="467"/>
      <c r="H42" s="467"/>
      <c r="I42" s="467"/>
      <c r="J42" s="467"/>
      <c r="K42" s="467"/>
      <c r="L42" s="467"/>
      <c r="M42" s="467"/>
      <c r="N42" s="467"/>
      <c r="O42" s="467"/>
      <c r="P42" s="467"/>
      <c r="Q42" s="467"/>
      <c r="R42" s="467"/>
      <c r="S42" s="467"/>
      <c r="T42" s="467"/>
      <c r="U42" s="467"/>
      <c r="V42" s="467"/>
      <c r="W42" s="467"/>
      <c r="X42" s="467"/>
      <c r="Y42" s="467"/>
    </row>
    <row r="43" spans="1:27" s="466" customFormat="1" ht="11.25" customHeight="1">
      <c r="A43" s="712" t="str">
        <f>"V "&amp;Ablauf!C1</f>
        <v>V 0.1</v>
      </c>
      <c r="B43" s="713"/>
      <c r="C43" s="468" t="s">
        <v>84</v>
      </c>
      <c r="D43" s="468" t="s">
        <v>298</v>
      </c>
      <c r="E43" s="469" t="s">
        <v>297</v>
      </c>
      <c r="G43" s="467"/>
      <c r="H43" s="467"/>
      <c r="I43" s="467"/>
      <c r="J43" s="467"/>
      <c r="K43" s="467"/>
      <c r="L43" s="467"/>
      <c r="M43" s="467"/>
      <c r="N43" s="467"/>
      <c r="O43" s="467"/>
      <c r="P43" s="467"/>
      <c r="Q43" s="467"/>
      <c r="R43" s="467"/>
      <c r="S43" s="467"/>
      <c r="T43" s="467"/>
      <c r="U43" s="467"/>
      <c r="V43" s="467"/>
      <c r="W43" s="467"/>
      <c r="X43" s="467"/>
      <c r="Y43" s="467"/>
    </row>
    <row r="44" spans="1:27" s="466" customFormat="1" ht="4.5" customHeight="1">
      <c r="A44" s="470"/>
      <c r="B44" s="470"/>
      <c r="C44" s="470"/>
      <c r="D44" s="471"/>
      <c r="E44" s="471"/>
      <c r="G44" s="467"/>
      <c r="H44" s="467"/>
      <c r="I44" s="467"/>
      <c r="J44" s="467"/>
      <c r="K44" s="467"/>
      <c r="L44" s="467"/>
      <c r="M44" s="467"/>
      <c r="N44" s="467"/>
      <c r="O44" s="467"/>
      <c r="P44" s="467"/>
      <c r="Q44" s="467"/>
      <c r="R44" s="467"/>
      <c r="S44" s="467"/>
      <c r="T44" s="467"/>
      <c r="U44" s="467"/>
      <c r="V44" s="467"/>
      <c r="W44" s="467"/>
      <c r="X44" s="467"/>
      <c r="Y44" s="467"/>
    </row>
    <row r="45" spans="1:27" s="466" customFormat="1" ht="17.25" customHeight="1">
      <c r="A45" s="709" t="str">
        <f>C9</f>
        <v>215007SADI1</v>
      </c>
      <c r="B45" s="709"/>
      <c r="C45" s="709"/>
      <c r="D45" s="716" t="str">
        <f>code128(D46)</f>
        <v>Ò0$H-!&gt;' f@Ó</v>
      </c>
      <c r="E45" s="716"/>
      <c r="F45" s="472"/>
      <c r="G45" s="470"/>
      <c r="H45" s="470"/>
      <c r="I45" s="470"/>
      <c r="J45" s="470"/>
      <c r="K45" s="470"/>
      <c r="L45" s="470"/>
      <c r="M45" s="470"/>
      <c r="N45" s="470"/>
      <c r="O45" s="470"/>
      <c r="P45" s="470"/>
      <c r="Q45" s="470"/>
      <c r="R45" s="470"/>
      <c r="S45" s="470"/>
      <c r="T45" s="470"/>
      <c r="U45" s="470"/>
      <c r="V45" s="470"/>
      <c r="W45" s="470"/>
      <c r="X45" s="470"/>
      <c r="Y45" s="470"/>
      <c r="Z45" s="472"/>
      <c r="AA45" s="472"/>
    </row>
    <row r="46" spans="1:27" s="466" customFormat="1" ht="9" customHeight="1">
      <c r="A46" s="709"/>
      <c r="B46" s="709"/>
      <c r="C46" s="709"/>
      <c r="D46" s="715" t="str">
        <f>Kalkulationsblatt!I51</f>
        <v>160440130130070070</v>
      </c>
      <c r="E46" s="715"/>
      <c r="F46" s="472"/>
      <c r="G46" s="470"/>
      <c r="H46" s="470"/>
      <c r="I46" s="470"/>
      <c r="J46" s="470"/>
      <c r="K46" s="470"/>
      <c r="L46" s="470"/>
      <c r="M46" s="470"/>
      <c r="N46" s="470"/>
      <c r="O46" s="470"/>
      <c r="P46" s="470"/>
      <c r="Q46" s="470"/>
      <c r="R46" s="470"/>
      <c r="S46" s="470"/>
      <c r="T46" s="470"/>
      <c r="U46" s="470"/>
      <c r="V46" s="470"/>
      <c r="W46" s="470"/>
      <c r="X46" s="470"/>
      <c r="Y46" s="470"/>
      <c r="Z46" s="472"/>
      <c r="AA46" s="472"/>
    </row>
    <row r="47" spans="1:27" ht="21.75" customHeight="1">
      <c r="A47" s="473" t="s">
        <v>274</v>
      </c>
      <c r="B47" s="473" t="s">
        <v>300</v>
      </c>
      <c r="C47" s="473"/>
      <c r="D47" s="473"/>
      <c r="E47" s="474" t="s">
        <v>54</v>
      </c>
      <c r="F47" s="475"/>
      <c r="G47" s="476"/>
      <c r="H47" s="477"/>
      <c r="I47" s="477"/>
      <c r="J47" s="477"/>
      <c r="K47" s="477"/>
      <c r="L47" s="477"/>
      <c r="M47" s="478"/>
      <c r="N47" s="478"/>
      <c r="O47" s="478"/>
      <c r="P47" s="478"/>
      <c r="Q47" s="478"/>
      <c r="R47" s="478"/>
      <c r="S47" s="478"/>
      <c r="T47" s="478"/>
      <c r="U47" s="478"/>
      <c r="V47" s="478"/>
      <c r="W47" s="479"/>
      <c r="X47" s="479"/>
      <c r="Y47" s="479"/>
      <c r="Z47" s="479"/>
      <c r="AA47" s="479"/>
    </row>
    <row r="48" spans="1:27" ht="15.75">
      <c r="A48" s="480">
        <v>1</v>
      </c>
      <c r="B48" s="481" t="s">
        <v>57</v>
      </c>
      <c r="C48" s="482"/>
      <c r="D48" s="483"/>
      <c r="E48" s="484">
        <f>SUMIF(Ablauf!$I$20:$I$59,1,Ablauf!$L$20:$L$59)</f>
        <v>160</v>
      </c>
      <c r="F48" s="485"/>
      <c r="G48" s="485"/>
      <c r="H48" s="477"/>
      <c r="I48" s="477"/>
      <c r="J48" s="477"/>
      <c r="K48" s="477"/>
      <c r="L48" s="477"/>
      <c r="M48" s="478"/>
      <c r="N48" s="478"/>
      <c r="O48" s="478"/>
      <c r="P48" s="478"/>
      <c r="Q48" s="478"/>
      <c r="R48" s="478"/>
      <c r="S48" s="478"/>
      <c r="T48" s="478"/>
      <c r="U48" s="478"/>
      <c r="V48" s="478"/>
      <c r="W48" s="479"/>
      <c r="X48" s="479"/>
      <c r="Y48" s="479"/>
      <c r="Z48" s="479"/>
      <c r="AA48" s="479"/>
    </row>
    <row r="49" spans="1:27" ht="15.75">
      <c r="A49" s="480">
        <v>2</v>
      </c>
      <c r="B49" s="481" t="s">
        <v>253</v>
      </c>
      <c r="C49" s="482"/>
      <c r="D49" s="483"/>
      <c r="E49" s="484">
        <f>SUMIF(Ablauf!$I$20:$I$59,2,Ablauf!$L$20:$L$59)</f>
        <v>440</v>
      </c>
      <c r="F49" s="485"/>
      <c r="G49" s="485"/>
      <c r="H49" s="477"/>
      <c r="I49" s="477"/>
      <c r="J49" s="477"/>
      <c r="K49" s="477"/>
      <c r="L49" s="477"/>
      <c r="M49" s="478"/>
      <c r="N49" s="478"/>
      <c r="O49" s="478"/>
      <c r="P49" s="478"/>
      <c r="Q49" s="478"/>
      <c r="R49" s="478"/>
      <c r="S49" s="478"/>
      <c r="T49" s="478"/>
      <c r="U49" s="478"/>
      <c r="V49" s="478"/>
      <c r="W49" s="479"/>
      <c r="X49" s="479"/>
      <c r="Y49" s="479"/>
      <c r="Z49" s="479"/>
      <c r="AA49" s="479"/>
    </row>
    <row r="50" spans="1:27" ht="15.75">
      <c r="A50" s="480">
        <v>3</v>
      </c>
      <c r="B50" s="481" t="s">
        <v>284</v>
      </c>
      <c r="C50" s="482"/>
      <c r="D50" s="483"/>
      <c r="E50" s="484">
        <f>SUMIF(Ablauf!$I$20:$I$59,3,Ablauf!$L$20:$L$59)</f>
        <v>130</v>
      </c>
      <c r="F50" s="485"/>
      <c r="G50" s="485"/>
      <c r="H50" s="477"/>
      <c r="I50" s="477"/>
      <c r="J50" s="477"/>
      <c r="K50" s="477"/>
      <c r="L50" s="477"/>
      <c r="M50" s="478"/>
      <c r="N50" s="478"/>
      <c r="O50" s="478"/>
      <c r="P50" s="478"/>
      <c r="Q50" s="478"/>
      <c r="R50" s="478"/>
      <c r="S50" s="478"/>
      <c r="T50" s="478"/>
      <c r="U50" s="478"/>
      <c r="V50" s="478"/>
      <c r="W50" s="479"/>
      <c r="X50" s="479"/>
      <c r="Y50" s="479"/>
      <c r="Z50" s="479"/>
      <c r="AA50" s="479"/>
    </row>
    <row r="51" spans="1:27" ht="15.75">
      <c r="A51" s="480">
        <v>4</v>
      </c>
      <c r="B51" s="481" t="s">
        <v>44</v>
      </c>
      <c r="C51" s="482"/>
      <c r="D51" s="483"/>
      <c r="E51" s="484">
        <f>SUMIF(Ablauf!$I$20:$I$59,4,Ablauf!$L$20:$L$59)</f>
        <v>130</v>
      </c>
      <c r="F51" s="485"/>
      <c r="G51" s="485"/>
      <c r="H51" s="477"/>
      <c r="I51" s="477"/>
      <c r="J51" s="477"/>
      <c r="K51" s="477"/>
      <c r="L51" s="477"/>
      <c r="M51" s="478"/>
      <c r="N51" s="478"/>
      <c r="O51" s="478"/>
      <c r="P51" s="478"/>
      <c r="Q51" s="478"/>
      <c r="R51" s="478"/>
      <c r="S51" s="478"/>
      <c r="T51" s="478"/>
      <c r="U51" s="478"/>
      <c r="V51" s="478"/>
      <c r="W51" s="479"/>
      <c r="X51" s="479"/>
      <c r="Y51" s="479"/>
      <c r="Z51" s="479"/>
      <c r="AA51" s="479"/>
    </row>
    <row r="52" spans="1:27" ht="15.75">
      <c r="A52" s="480">
        <v>5</v>
      </c>
      <c r="B52" s="481" t="s">
        <v>254</v>
      </c>
      <c r="C52" s="482"/>
      <c r="D52" s="483"/>
      <c r="E52" s="484">
        <f>SUMIF(Ablauf!$I$20:$I$59,5,Ablauf!$L$20:$L$59)</f>
        <v>70</v>
      </c>
      <c r="F52" s="485"/>
      <c r="G52" s="485"/>
      <c r="H52" s="477"/>
      <c r="I52" s="477"/>
      <c r="J52" s="477"/>
      <c r="K52" s="477"/>
      <c r="L52" s="477"/>
      <c r="M52" s="478"/>
      <c r="N52" s="478"/>
      <c r="O52" s="478"/>
      <c r="P52" s="478"/>
      <c r="Q52" s="478"/>
      <c r="R52" s="478"/>
      <c r="S52" s="478"/>
      <c r="T52" s="478"/>
      <c r="U52" s="478"/>
      <c r="V52" s="478"/>
      <c r="W52" s="479"/>
      <c r="X52" s="479"/>
      <c r="Y52" s="479"/>
      <c r="Z52" s="479"/>
      <c r="AA52" s="479"/>
    </row>
    <row r="53" spans="1:27" ht="15.75">
      <c r="A53" s="480">
        <v>6</v>
      </c>
      <c r="B53" s="481" t="s">
        <v>285</v>
      </c>
      <c r="C53" s="482"/>
      <c r="D53" s="483"/>
      <c r="E53" s="484">
        <f>SUMIF(Ablauf!$I$20:$I$59,6,Ablauf!$L$20:$L$59)</f>
        <v>70</v>
      </c>
      <c r="F53" s="485"/>
      <c r="G53" s="485"/>
      <c r="H53" s="477"/>
      <c r="I53" s="477"/>
      <c r="J53" s="477"/>
      <c r="K53" s="477"/>
      <c r="L53" s="477"/>
      <c r="M53" s="478"/>
      <c r="N53" s="478"/>
      <c r="O53" s="478"/>
      <c r="P53" s="478"/>
      <c r="Q53" s="478"/>
      <c r="R53" s="478"/>
      <c r="S53" s="478"/>
      <c r="T53" s="478"/>
      <c r="U53" s="478"/>
      <c r="V53" s="478"/>
      <c r="W53" s="479"/>
      <c r="X53" s="479"/>
      <c r="Y53" s="479"/>
      <c r="Z53" s="479"/>
      <c r="AA53" s="479"/>
    </row>
    <row r="54" spans="1:27" ht="15">
      <c r="A54" s="473" t="s">
        <v>52</v>
      </c>
      <c r="B54" s="473"/>
      <c r="C54" s="708" t="s">
        <v>275</v>
      </c>
      <c r="D54" s="708"/>
      <c r="E54" s="435" t="s">
        <v>522</v>
      </c>
      <c r="F54" s="486"/>
      <c r="G54" s="486"/>
      <c r="H54" s="486"/>
      <c r="I54" s="486"/>
      <c r="J54" s="486"/>
      <c r="K54" s="486"/>
      <c r="L54" s="486"/>
      <c r="W54" s="424"/>
      <c r="X54" s="424"/>
      <c r="Y54" s="424"/>
    </row>
    <row r="55" spans="1:27" ht="15.75">
      <c r="A55" s="480">
        <f>IF(Ablauf!C20="","",Ablauf!A20)</f>
        <v>1</v>
      </c>
      <c r="B55" s="481" t="str">
        <f>IF(Ablauf!C20="","",Ablauf!C20)</f>
        <v>Material Zuschnitt</v>
      </c>
      <c r="C55" s="482" t="str">
        <f>IF(Ablauf!AD20="","",Ablauf!AD20&amp;" min")&amp;
IF(Ablauf!X20="",""," | "&amp;Ablauf!X20&amp;" m")&amp;
IF(Ablauf!Y20="",""," | "&amp;Ablauf!Y20)&amp;
IF(Ablauf!Z20="",""," - "&amp;Ablauf!Z20&amp;" kg")&amp;
IF(Ablauf!AA20="",""," | "&amp;Ablauf!AA20)&amp;
IF(Ablauf!AB20="",""," - "&amp;Ablauf!AB20&amp;" kg")&amp;
IF(Ablauf!AC20="",""," | "&amp;Ablauf!AC20&amp;" kg")&amp;
IF(Ablauf!D20="",""," | "&amp;Ablauf!D20)</f>
        <v>50 min</v>
      </c>
      <c r="D55" s="483"/>
      <c r="E55" s="483" t="str">
        <f>IF(Ablauf!C20="","",Ablauf!W20)</f>
        <v>ZU-000 Zuschnitt</v>
      </c>
      <c r="F55" s="486"/>
      <c r="G55" s="486"/>
      <c r="H55" s="486"/>
      <c r="I55" s="486"/>
      <c r="J55" s="486"/>
      <c r="K55" s="486"/>
      <c r="L55" s="486"/>
      <c r="W55" s="424"/>
      <c r="X55" s="424"/>
      <c r="Y55" s="424"/>
    </row>
    <row r="56" spans="1:27" ht="15.75">
      <c r="A56" s="480">
        <f>IF(Ablauf!C21="","",Ablauf!A21)</f>
        <v>2</v>
      </c>
      <c r="B56" s="481" t="str">
        <f>IF(Ablauf!C21="","",Ablauf!C21)</f>
        <v>Preforming</v>
      </c>
      <c r="C56" s="482" t="str">
        <f>IF(Ablauf!AD21="","",Ablauf!AD21&amp;" min")&amp;
IF(Ablauf!X21="",""," | "&amp;Ablauf!X21&amp;" m")&amp;
IF(Ablauf!Y21="",""," | "&amp;Ablauf!Y21)&amp;
IF(Ablauf!Z21="",""," - "&amp;Ablauf!Z21&amp;" kg")&amp;
IF(Ablauf!AA21="",""," | "&amp;Ablauf!AA21)&amp;
IF(Ablauf!AB21="",""," - "&amp;Ablauf!AB21&amp;" kg")&amp;
IF(Ablauf!AC21="",""," | "&amp;Ablauf!AC21&amp;" kg")&amp;
IF(Ablauf!D21="",""," | "&amp;Ablauf!D21)</f>
        <v>110 min</v>
      </c>
      <c r="D56" s="483"/>
      <c r="E56" s="483" t="str">
        <f>IF(Ablauf!C21="","",Ablauf!W21)</f>
        <v>PR-000 Preforming</v>
      </c>
      <c r="F56" s="486"/>
      <c r="G56" s="486"/>
      <c r="H56" s="486"/>
      <c r="I56" s="486"/>
      <c r="J56" s="486"/>
      <c r="K56" s="486"/>
      <c r="L56" s="486"/>
      <c r="W56" s="424"/>
      <c r="X56" s="424"/>
      <c r="Y56" s="424"/>
    </row>
    <row r="57" spans="1:27" ht="15.75">
      <c r="A57" s="480">
        <f>IF(Ablauf!C22="","",Ablauf!A22)</f>
        <v>3</v>
      </c>
      <c r="B57" s="481" t="str">
        <f>IF(Ablauf!C22="","",Ablauf!C22)</f>
        <v>Formen reinigen</v>
      </c>
      <c r="C57" s="482" t="str">
        <f>IF(Ablauf!AD22="","",Ablauf!AD22&amp;" min")&amp;
IF(Ablauf!X22="",""," | "&amp;Ablauf!X22&amp;" m")&amp;
IF(Ablauf!Y22="",""," | "&amp;Ablauf!Y22)&amp;
IF(Ablauf!Z22="",""," - "&amp;Ablauf!Z22&amp;" kg")&amp;
IF(Ablauf!AA22="",""," | "&amp;Ablauf!AA22)&amp;
IF(Ablauf!AB22="",""," - "&amp;Ablauf!AB22&amp;" kg")&amp;
IF(Ablauf!AC22="",""," | "&amp;Ablauf!AC22&amp;" kg")&amp;
IF(Ablauf!D22="",""," | "&amp;Ablauf!D22)</f>
        <v>40 min</v>
      </c>
      <c r="D57" s="483"/>
      <c r="E57" s="483" t="str">
        <f>IF(Ablauf!C22="","",Ablauf!W22)</f>
        <v>FV-000 Formvorbereitung</v>
      </c>
      <c r="F57" s="486"/>
      <c r="G57" s="486"/>
      <c r="H57" s="486"/>
      <c r="I57" s="486"/>
      <c r="J57" s="486"/>
      <c r="K57" s="486"/>
      <c r="L57" s="486"/>
      <c r="W57" s="424"/>
      <c r="X57" s="424"/>
      <c r="Y57" s="424"/>
    </row>
    <row r="58" spans="1:27" ht="15.75">
      <c r="A58" s="480">
        <f>IF(Ablauf!C23="","",Ablauf!A23)</f>
        <v>4</v>
      </c>
      <c r="B58" s="481" t="str">
        <f>IF(Ablauf!C23="","",Ablauf!C23)</f>
        <v>Formen eintrennen u. polieren</v>
      </c>
      <c r="C58" s="482" t="str">
        <f>IF(Ablauf!AD23="","",Ablauf!AD23&amp;" min")&amp;
IF(Ablauf!X23="",""," | "&amp;Ablauf!X23&amp;" m")&amp;
IF(Ablauf!Y23="",""," | "&amp;Ablauf!Y23)&amp;
IF(Ablauf!Z23="",""," - "&amp;Ablauf!Z23&amp;" kg")&amp;
IF(Ablauf!AA23="",""," | "&amp;Ablauf!AA23)&amp;
IF(Ablauf!AB23="",""," - "&amp;Ablauf!AB23&amp;" kg")&amp;
IF(Ablauf!AC23="",""," | "&amp;Ablauf!AC23&amp;" kg")&amp;
IF(Ablauf!D23="",""," | "&amp;Ablauf!D23)</f>
        <v>40 min</v>
      </c>
      <c r="D58" s="483"/>
      <c r="E58" s="483" t="str">
        <f>IF(Ablauf!C23="","",Ablauf!W23)</f>
        <v>FV-000 Formvorbereitung</v>
      </c>
      <c r="F58" s="486"/>
      <c r="G58" s="486"/>
      <c r="H58" s="486"/>
      <c r="I58" s="486"/>
      <c r="J58" s="486"/>
      <c r="K58" s="486"/>
      <c r="L58" s="486"/>
      <c r="W58" s="424"/>
      <c r="X58" s="424"/>
      <c r="Y58" s="424"/>
    </row>
    <row r="59" spans="1:27" ht="15.75">
      <c r="A59" s="480">
        <f>IF(Ablauf!C24="","",Ablauf!A24)</f>
        <v>5</v>
      </c>
      <c r="B59" s="481" t="str">
        <f>IF(Ablauf!C24="","",Ablauf!C24)</f>
        <v>Gelcoat streichen</v>
      </c>
      <c r="C59" s="482" t="str">
        <f>IF(Ablauf!AD24="","",Ablauf!AD24&amp;" min")&amp;
IF(Ablauf!X24="",""," | "&amp;Ablauf!X24&amp;" m")&amp;
IF(Ablauf!Y24="",""," | "&amp;Ablauf!Y24)&amp;
IF(Ablauf!Z24="",""," - "&amp;Ablauf!Z24&amp;" kg")&amp;
IF(Ablauf!AA24="",""," | "&amp;Ablauf!AA24)&amp;
IF(Ablauf!AB24="",""," - "&amp;Ablauf!AB24&amp;" kg")&amp;
IF(Ablauf!AC24="",""," | "&amp;Ablauf!AC24&amp;" kg")&amp;
IF(Ablauf!D24="",""," | "&amp;Ablauf!D24)</f>
        <v>40 min | RAL 7035 - 0,8 kg</v>
      </c>
      <c r="D59" s="483"/>
      <c r="E59" s="483" t="str">
        <f>IF(Ablauf!C24="","",Ablauf!W24)</f>
        <v>CO-000 Coating</v>
      </c>
      <c r="F59" s="486"/>
      <c r="G59" s="486"/>
      <c r="H59" s="486"/>
      <c r="I59" s="486"/>
      <c r="J59" s="486"/>
      <c r="K59" s="486"/>
      <c r="L59" s="486"/>
      <c r="W59" s="424"/>
      <c r="X59" s="424"/>
      <c r="Y59" s="424"/>
    </row>
    <row r="60" spans="1:27" ht="15.75">
      <c r="A60" s="480">
        <f>IF(Ablauf!C25="","",Ablauf!A25)</f>
        <v>6</v>
      </c>
      <c r="B60" s="481" t="str">
        <f>IF(Ablauf!C25="","",Ablauf!C25)</f>
        <v>Gelcoat streichen</v>
      </c>
      <c r="C60" s="482" t="str">
        <f>IF(Ablauf!AD25="","",Ablauf!AD25&amp;" min")&amp;
IF(Ablauf!X25="",""," | "&amp;Ablauf!X25&amp;" m")&amp;
IF(Ablauf!Y25="",""," | "&amp;Ablauf!Y25)&amp;
IF(Ablauf!Z25="",""," - "&amp;Ablauf!Z25&amp;" kg")&amp;
IF(Ablauf!AA25="",""," | "&amp;Ablauf!AA25)&amp;
IF(Ablauf!AB25="",""," - "&amp;Ablauf!AB25&amp;" kg")&amp;
IF(Ablauf!AC25="",""," | "&amp;Ablauf!AC25&amp;" kg")&amp;
IF(Ablauf!D25="",""," | "&amp;Ablauf!D25)</f>
        <v>40 min | RAL 7035 - 0,8 kg</v>
      </c>
      <c r="D60" s="483"/>
      <c r="E60" s="483" t="str">
        <f>IF(Ablauf!C25="","",Ablauf!W25)</f>
        <v>CO-000 Coating</v>
      </c>
      <c r="F60" s="486"/>
      <c r="G60" s="486"/>
      <c r="H60" s="487"/>
      <c r="I60" s="487"/>
      <c r="J60" s="487"/>
      <c r="K60" s="487"/>
      <c r="L60" s="487"/>
      <c r="W60" s="424"/>
      <c r="X60" s="424"/>
      <c r="Y60" s="424"/>
    </row>
    <row r="61" spans="1:27" ht="15.75">
      <c r="A61" s="480">
        <f>IF(Ablauf!C26="","",Ablauf!A26)</f>
        <v>7</v>
      </c>
      <c r="B61" s="481" t="str">
        <f>IF(Ablauf!C26="","",Ablauf!C26)</f>
        <v>Abreissgewebe 83 g/m²</v>
      </c>
      <c r="C61" s="482" t="str">
        <f>IF(Ablauf!AD26="","",Ablauf!AD26&amp;" min")&amp;
IF(Ablauf!X26="",""," | "&amp;Ablauf!X26&amp;" m")&amp;
IF(Ablauf!Y26="",""," | "&amp;Ablauf!Y26)&amp;
IF(Ablauf!Z26="",""," - "&amp;Ablauf!Z26&amp;" kg")&amp;
IF(Ablauf!AA26="",""," | "&amp;Ablauf!AA26)&amp;
IF(Ablauf!AB26="",""," - "&amp;Ablauf!AB26&amp;" kg")&amp;
IF(Ablauf!AC26="",""," | "&amp;Ablauf!AC26&amp;" kg")&amp;
IF(Ablauf!D26="",""," | "&amp;Ablauf!D26)</f>
        <v>40 min</v>
      </c>
      <c r="D61" s="483"/>
      <c r="E61" s="483" t="str">
        <f>IF(Ablauf!C26="","",Ablauf!W26)</f>
        <v>ML-000 Matte-Laminieren</v>
      </c>
      <c r="F61" s="486"/>
      <c r="G61" s="486"/>
      <c r="H61" s="486"/>
      <c r="I61" s="486"/>
      <c r="J61" s="486"/>
      <c r="K61" s="486"/>
      <c r="L61" s="486"/>
      <c r="W61" s="424"/>
      <c r="X61" s="424"/>
      <c r="Y61" s="424"/>
    </row>
    <row r="62" spans="1:27" ht="15.75">
      <c r="A62" s="480">
        <f>IF(Ablauf!C27="","",Ablauf!A27)</f>
        <v>8</v>
      </c>
      <c r="B62" s="481" t="str">
        <f>IF(Ablauf!C27="","",Ablauf!C27)</f>
        <v>K1800 235 g/m²</v>
      </c>
      <c r="C62" s="482" t="str">
        <f>IF(Ablauf!AD27="","",Ablauf!AD27&amp;" min")&amp;
IF(Ablauf!X27="",""," | "&amp;Ablauf!X27&amp;" m")&amp;
IF(Ablauf!Y27="",""," | "&amp;Ablauf!Y27)&amp;
IF(Ablauf!Z27="",""," - "&amp;Ablauf!Z27&amp;" kg")&amp;
IF(Ablauf!AA27="",""," | "&amp;Ablauf!AA27)&amp;
IF(Ablauf!AB27="",""," - "&amp;Ablauf!AB27&amp;" kg")&amp;
IF(Ablauf!AC27="",""," | "&amp;Ablauf!AC27&amp;" kg")&amp;
IF(Ablauf!D27="",""," | "&amp;Ablauf!D27)</f>
        <v>50 min</v>
      </c>
      <c r="D62" s="483"/>
      <c r="E62" s="483" t="str">
        <f>IF(Ablauf!C27="","",Ablauf!W27)</f>
        <v>ML-000 Matte-Laminieren</v>
      </c>
      <c r="F62" s="486"/>
      <c r="G62" s="486"/>
      <c r="H62" s="486"/>
      <c r="I62" s="486"/>
      <c r="J62" s="486"/>
      <c r="K62" s="486"/>
      <c r="L62" s="486"/>
      <c r="W62" s="424"/>
      <c r="X62" s="424"/>
      <c r="Y62" s="424"/>
    </row>
    <row r="63" spans="1:27" ht="15.75">
      <c r="A63" s="480">
        <f>IF(Ablauf!C28="","",Ablauf!A28)</f>
        <v>9</v>
      </c>
      <c r="B63" s="481" t="str">
        <f>IF(Ablauf!C28="","",Ablauf!C28)</f>
        <v>K1800 235 g/m²</v>
      </c>
      <c r="C63" s="482" t="str">
        <f>IF(Ablauf!AD28="","",Ablauf!AD28&amp;" min")&amp;
IF(Ablauf!X28="",""," | "&amp;Ablauf!X28&amp;" m")&amp;
IF(Ablauf!Y28="",""," | "&amp;Ablauf!Y28)&amp;
IF(Ablauf!Z28="",""," - "&amp;Ablauf!Z28&amp;" kg")&amp;
IF(Ablauf!AA28="",""," | "&amp;Ablauf!AA28)&amp;
IF(Ablauf!AB28="",""," - "&amp;Ablauf!AB28&amp;" kg")&amp;
IF(Ablauf!AC28="",""," | "&amp;Ablauf!AC28&amp;" kg")&amp;
IF(Ablauf!D28="",""," | "&amp;Ablauf!D28)</f>
        <v>50 min</v>
      </c>
      <c r="D63" s="483"/>
      <c r="E63" s="483" t="str">
        <f>IF(Ablauf!C28="","",Ablauf!W28)</f>
        <v>ML-000 Matte-Laminieren</v>
      </c>
      <c r="F63" s="486"/>
      <c r="G63" s="486"/>
      <c r="H63" s="486"/>
      <c r="I63" s="486"/>
      <c r="J63" s="486"/>
      <c r="K63" s="486"/>
      <c r="L63" s="486"/>
      <c r="W63" s="424"/>
      <c r="X63" s="424"/>
      <c r="Y63" s="424"/>
    </row>
    <row r="64" spans="1:27" ht="15.75">
      <c r="A64" s="480">
        <f>IF(Ablauf!C29="","",Ablauf!A29)</f>
        <v>10</v>
      </c>
      <c r="B64" s="481" t="str">
        <f>IF(Ablauf!C29="","",Ablauf!C29)</f>
        <v>K1800 235 g/m²</v>
      </c>
      <c r="C64" s="482" t="str">
        <f>IF(Ablauf!AD29="","",Ablauf!AD29&amp;" min")&amp;
IF(Ablauf!X29="",""," | "&amp;Ablauf!X29&amp;" m")&amp;
IF(Ablauf!Y29="",""," | "&amp;Ablauf!Y29)&amp;
IF(Ablauf!Z29="",""," - "&amp;Ablauf!Z29&amp;" kg")&amp;
IF(Ablauf!AA29="",""," | "&amp;Ablauf!AA29)&amp;
IF(Ablauf!AB29="",""," - "&amp;Ablauf!AB29&amp;" kg")&amp;
IF(Ablauf!AC29="",""," | "&amp;Ablauf!AC29&amp;" kg")&amp;
IF(Ablauf!D29="",""," | "&amp;Ablauf!D29)</f>
        <v>50 min</v>
      </c>
      <c r="D64" s="483"/>
      <c r="E64" s="483" t="str">
        <f>IF(Ablauf!C29="","",Ablauf!W29)</f>
        <v>ML-000 Matte-Laminieren</v>
      </c>
      <c r="F64" s="486"/>
      <c r="G64" s="486"/>
      <c r="H64" s="486"/>
      <c r="I64" s="486"/>
      <c r="J64" s="486"/>
      <c r="K64" s="486"/>
      <c r="L64" s="486"/>
      <c r="W64" s="424"/>
      <c r="X64" s="424"/>
      <c r="Y64" s="424"/>
    </row>
    <row r="65" spans="1:25" ht="15.75">
      <c r="A65" s="480">
        <f>IF(Ablauf!C30="","",Ablauf!A30)</f>
        <v>11</v>
      </c>
      <c r="B65" s="481" t="str">
        <f>IF(Ablauf!C30="","",Ablauf!C30)</f>
        <v>K1800 235 g/m²</v>
      </c>
      <c r="C65" s="482" t="str">
        <f>IF(Ablauf!AD30="","",Ablauf!AD30&amp;" min")&amp;
IF(Ablauf!X30="",""," | "&amp;Ablauf!X30&amp;" m")&amp;
IF(Ablauf!Y30="",""," | "&amp;Ablauf!Y30)&amp;
IF(Ablauf!Z30="",""," - "&amp;Ablauf!Z30&amp;" kg")&amp;
IF(Ablauf!AA30="",""," | "&amp;Ablauf!AA30)&amp;
IF(Ablauf!AB30="",""," - "&amp;Ablauf!AB30&amp;" kg")&amp;
IF(Ablauf!AC30="",""," | "&amp;Ablauf!AC30&amp;" kg")&amp;
IF(Ablauf!D30="",""," | "&amp;Ablauf!D30)</f>
        <v>50 min</v>
      </c>
      <c r="D65" s="483"/>
      <c r="E65" s="483" t="str">
        <f>IF(Ablauf!C30="","",Ablauf!W30)</f>
        <v>ML-000 Matte-Laminieren</v>
      </c>
      <c r="F65" s="486"/>
      <c r="G65" s="486"/>
      <c r="H65" s="486"/>
      <c r="I65" s="486"/>
      <c r="J65" s="486"/>
      <c r="K65" s="486"/>
      <c r="L65" s="486"/>
      <c r="W65" s="424"/>
      <c r="X65" s="424"/>
      <c r="Y65" s="424"/>
    </row>
    <row r="66" spans="1:25" ht="15.75">
      <c r="A66" s="480">
        <f>IF(Ablauf!C31="","",Ablauf!A31)</f>
        <v>12</v>
      </c>
      <c r="B66" s="481" t="str">
        <f>IF(Ablauf!C31="","",Ablauf!C31)</f>
        <v>Tempern</v>
      </c>
      <c r="C66" s="482" t="str">
        <f>IF(Ablauf!AD31="","",Ablauf!AD31&amp;" min")&amp;
IF(Ablauf!X31="",""," | "&amp;Ablauf!X31&amp;" m")&amp;
IF(Ablauf!Y31="",""," | "&amp;Ablauf!Y31)&amp;
IF(Ablauf!Z31="",""," - "&amp;Ablauf!Z31&amp;" kg")&amp;
IF(Ablauf!AA31="",""," | "&amp;Ablauf!AA31)&amp;
IF(Ablauf!AB31="",""," - "&amp;Ablauf!AB31&amp;" kg")&amp;
IF(Ablauf!AC31="",""," | "&amp;Ablauf!AC31&amp;" kg")&amp;
IF(Ablauf!D31="",""," | "&amp;Ablauf!D31)</f>
        <v>10 min</v>
      </c>
      <c r="D66" s="483"/>
      <c r="E66" s="483" t="str">
        <f>IF(Ablauf!C31="","",Ablauf!W31)</f>
        <v>TE-000 Tempern</v>
      </c>
      <c r="F66" s="486"/>
      <c r="G66" s="486"/>
      <c r="H66" s="486"/>
      <c r="I66" s="486"/>
      <c r="J66" s="486"/>
      <c r="K66" s="486"/>
      <c r="L66" s="486"/>
      <c r="W66" s="424"/>
      <c r="X66" s="424"/>
      <c r="Y66" s="424"/>
    </row>
    <row r="67" spans="1:25" ht="15.75">
      <c r="A67" s="480">
        <f>IF(Ablauf!C32="","",Ablauf!A32)</f>
        <v>13</v>
      </c>
      <c r="B67" s="481" t="str">
        <f>IF(Ablauf!C32="","",Ablauf!C32)</f>
        <v>Entformen</v>
      </c>
      <c r="C67" s="482" t="str">
        <f>IF(Ablauf!AD32="","",Ablauf!AD32&amp;" min")&amp;
IF(Ablauf!X32="",""," | "&amp;Ablauf!X32&amp;" m")&amp;
IF(Ablauf!Y32="",""," | "&amp;Ablauf!Y32)&amp;
IF(Ablauf!Z32="",""," - "&amp;Ablauf!Z32&amp;" kg")&amp;
IF(Ablauf!AA32="",""," | "&amp;Ablauf!AA32)&amp;
IF(Ablauf!AB32="",""," - "&amp;Ablauf!AB32&amp;" kg")&amp;
IF(Ablauf!AC32="",""," | "&amp;Ablauf!AC32&amp;" kg")&amp;
IF(Ablauf!D32="",""," | "&amp;Ablauf!D32)</f>
        <v>30 min</v>
      </c>
      <c r="D67" s="483"/>
      <c r="E67" s="483" t="str">
        <f>IF(Ablauf!C32="","",Ablauf!W32)</f>
        <v>EF-000 Entformen</v>
      </c>
      <c r="F67" s="487"/>
      <c r="G67" s="487"/>
      <c r="H67" s="486"/>
      <c r="I67" s="486"/>
      <c r="J67" s="486"/>
      <c r="K67" s="486"/>
      <c r="L67" s="486"/>
      <c r="W67" s="424"/>
      <c r="X67" s="424"/>
      <c r="Y67" s="424"/>
    </row>
    <row r="68" spans="1:25" ht="15.75">
      <c r="A68" s="480">
        <f>IF(Ablauf!C33="","",Ablauf!A33)</f>
        <v>14</v>
      </c>
      <c r="B68" s="481" t="str">
        <f>IF(Ablauf!C33="","",Ablauf!C33)</f>
        <v xml:space="preserve">Beschneiden </v>
      </c>
      <c r="C68" s="482" t="str">
        <f>IF(Ablauf!AD33="","",Ablauf!AD33&amp;" min")&amp;
IF(Ablauf!X33="",""," | "&amp;Ablauf!X33&amp;" m")&amp;
IF(Ablauf!Y33="",""," | "&amp;Ablauf!Y33)&amp;
IF(Ablauf!Z33="",""," - "&amp;Ablauf!Z33&amp;" kg")&amp;
IF(Ablauf!AA33="",""," | "&amp;Ablauf!AA33)&amp;
IF(Ablauf!AB33="",""," - "&amp;Ablauf!AB33&amp;" kg")&amp;
IF(Ablauf!AC33="",""," | "&amp;Ablauf!AC33&amp;" kg")&amp;
IF(Ablauf!D33="",""," | "&amp;Ablauf!D33)</f>
        <v>130 min | 20 m</v>
      </c>
      <c r="D68" s="483"/>
      <c r="E68" s="483" t="str">
        <f>IF(Ablauf!C33="","",Ablauf!W33)</f>
        <v>BS-000 Beschnitt</v>
      </c>
      <c r="F68" s="486"/>
      <c r="G68" s="486"/>
      <c r="H68" s="486"/>
      <c r="I68" s="486"/>
      <c r="J68" s="486"/>
      <c r="K68" s="486"/>
      <c r="L68" s="486"/>
      <c r="W68" s="424"/>
      <c r="X68" s="424"/>
      <c r="Y68" s="424"/>
    </row>
    <row r="69" spans="1:25" ht="15.75">
      <c r="A69" s="480">
        <f>IF(Ablauf!C34="","",Ablauf!A34)</f>
        <v>15</v>
      </c>
      <c r="B69" s="481" t="str">
        <f>IF(Ablauf!C34="","",Ablauf!C34)</f>
        <v>Montage Zukaufteile</v>
      </c>
      <c r="C69" s="482" t="str">
        <f>IF(Ablauf!AD34="","",Ablauf!AD34&amp;" min")&amp;
IF(Ablauf!X34="",""," | "&amp;Ablauf!X34&amp;" m")&amp;
IF(Ablauf!Y34="",""," | "&amp;Ablauf!Y34)&amp;
IF(Ablauf!Z34="",""," - "&amp;Ablauf!Z34&amp;" kg")&amp;
IF(Ablauf!AA34="",""," | "&amp;Ablauf!AA34)&amp;
IF(Ablauf!AB34="",""," - "&amp;Ablauf!AB34&amp;" kg")&amp;
IF(Ablauf!AC34="",""," | "&amp;Ablauf!AC34&amp;" kg")&amp;
IF(Ablauf!D34="",""," | "&amp;Ablauf!D34)</f>
        <v>130 min</v>
      </c>
      <c r="D69" s="483"/>
      <c r="E69" s="483" t="str">
        <f>IF(Ablauf!C34="","",Ablauf!W34)</f>
        <v/>
      </c>
      <c r="F69" s="486"/>
      <c r="G69" s="486"/>
      <c r="H69" s="486"/>
      <c r="I69" s="486"/>
      <c r="J69" s="486"/>
      <c r="K69" s="486"/>
      <c r="L69" s="486"/>
      <c r="W69" s="424"/>
      <c r="X69" s="424"/>
      <c r="Y69" s="424"/>
    </row>
    <row r="70" spans="1:25" ht="15.75">
      <c r="A70" s="480">
        <f>IF(Ablauf!C35="","",Ablauf!A35)</f>
        <v>16</v>
      </c>
      <c r="B70" s="481" t="str">
        <f>IF(Ablauf!C35="","",Ablauf!C35)</f>
        <v>Qualitätsprüfung</v>
      </c>
      <c r="C70" s="482" t="str">
        <f>IF(Ablauf!AD35="","",Ablauf!AD35&amp;" min")&amp;
IF(Ablauf!X35="",""," | "&amp;Ablauf!X35&amp;" m")&amp;
IF(Ablauf!Y35="",""," | "&amp;Ablauf!Y35)&amp;
IF(Ablauf!Z35="",""," - "&amp;Ablauf!Z35&amp;" kg")&amp;
IF(Ablauf!AA35="",""," | "&amp;Ablauf!AA35)&amp;
IF(Ablauf!AB35="",""," - "&amp;Ablauf!AB35&amp;" kg")&amp;
IF(Ablauf!AC35="",""," | "&amp;Ablauf!AC35&amp;" kg")&amp;
IF(Ablauf!D35="",""," | "&amp;Ablauf!D35)</f>
        <v>70 min | 4,52 kg</v>
      </c>
      <c r="D70" s="483"/>
      <c r="E70" s="483" t="str">
        <f>IF(Ablauf!C35="","",Ablauf!W35)</f>
        <v>QK-000 Endkontrolle</v>
      </c>
      <c r="F70" s="486"/>
      <c r="G70" s="486"/>
      <c r="H70" s="486"/>
      <c r="I70" s="486"/>
      <c r="J70" s="486"/>
      <c r="K70" s="486"/>
      <c r="L70" s="486"/>
      <c r="W70" s="424"/>
      <c r="X70" s="424"/>
      <c r="Y70" s="424"/>
    </row>
    <row r="71" spans="1:25" ht="15.75">
      <c r="A71" s="480">
        <f>IF(Ablauf!C36="","",Ablauf!A36)</f>
        <v>17</v>
      </c>
      <c r="B71" s="481" t="str">
        <f>IF(Ablauf!C36="","",Ablauf!C36)</f>
        <v>Versand Vorbereitung</v>
      </c>
      <c r="C71" s="482" t="str">
        <f>IF(Ablauf!AD36="","",Ablauf!AD36&amp;" min")&amp;
IF(Ablauf!X36="",""," | "&amp;Ablauf!X36&amp;" m")&amp;
IF(Ablauf!Y36="",""," | "&amp;Ablauf!Y36)&amp;
IF(Ablauf!Z36="",""," - "&amp;Ablauf!Z36&amp;" kg")&amp;
IF(Ablauf!AA36="",""," | "&amp;Ablauf!AA36)&amp;
IF(Ablauf!AB36="",""," - "&amp;Ablauf!AB36&amp;" kg")&amp;
IF(Ablauf!AC36="",""," | "&amp;Ablauf!AC36&amp;" kg")&amp;
IF(Ablauf!D36="",""," | "&amp;Ablauf!D36)</f>
        <v>70 min | 4,52 kg</v>
      </c>
      <c r="D71" s="483"/>
      <c r="E71" s="483" t="str">
        <f>IF(Ablauf!C36="","",Ablauf!W36)</f>
        <v>VE-000 Versand</v>
      </c>
      <c r="F71" s="486"/>
      <c r="G71" s="486"/>
      <c r="H71" s="488"/>
      <c r="I71" s="488"/>
      <c r="J71" s="488"/>
      <c r="K71" s="488"/>
      <c r="L71" s="488"/>
      <c r="W71" s="424"/>
      <c r="X71" s="424"/>
      <c r="Y71" s="424"/>
    </row>
    <row r="72" spans="1:25" ht="15.75">
      <c r="A72" s="480" t="str">
        <f>IF(Ablauf!C37="","",Ablauf!A37)</f>
        <v/>
      </c>
      <c r="B72" s="481" t="str">
        <f>IF(Ablauf!C37="","",Ablauf!C37)</f>
        <v/>
      </c>
      <c r="C72" s="482" t="str">
        <f>IF(Ablauf!AD37="","",Ablauf!AD37&amp;" min")&amp;
IF(Ablauf!X37="",""," | "&amp;Ablauf!X37&amp;" m")&amp;
IF(Ablauf!Y37="",""," | "&amp;Ablauf!Y37)&amp;
IF(Ablauf!Z37="",""," - "&amp;Ablauf!Z37&amp;" kg")&amp;
IF(Ablauf!AA37="",""," | "&amp;Ablauf!AA37)&amp;
IF(Ablauf!AB37="",""," - "&amp;Ablauf!AB37&amp;" kg")&amp;
IF(Ablauf!AC37="",""," | "&amp;Ablauf!AC37&amp;" kg")&amp;
IF(Ablauf!D37="",""," | "&amp;Ablauf!D37)</f>
        <v/>
      </c>
      <c r="D72" s="483"/>
      <c r="E72" s="483" t="str">
        <f>IF(Ablauf!C37="","",Ablauf!W37)</f>
        <v/>
      </c>
      <c r="F72" s="486"/>
      <c r="G72" s="486"/>
      <c r="H72" s="488"/>
      <c r="I72" s="488"/>
      <c r="J72" s="488"/>
      <c r="K72" s="488"/>
      <c r="L72" s="488"/>
      <c r="W72" s="424"/>
      <c r="X72" s="424"/>
      <c r="Y72" s="424"/>
    </row>
    <row r="73" spans="1:25" ht="15.75">
      <c r="A73" s="480" t="str">
        <f>IF(Ablauf!C38="","",Ablauf!A38)</f>
        <v/>
      </c>
      <c r="B73" s="481" t="str">
        <f>IF(Ablauf!C38="","",Ablauf!C38)</f>
        <v/>
      </c>
      <c r="C73" s="482" t="str">
        <f>IF(Ablauf!AD38="","",Ablauf!AD38&amp;" min")&amp;
IF(Ablauf!X38="",""," | "&amp;Ablauf!X38&amp;" m")&amp;
IF(Ablauf!Y38="",""," | "&amp;Ablauf!Y38)&amp;
IF(Ablauf!Z38="",""," - "&amp;Ablauf!Z38&amp;" kg")&amp;
IF(Ablauf!AA38="",""," | "&amp;Ablauf!AA38)&amp;
IF(Ablauf!AB38="",""," - "&amp;Ablauf!AB38&amp;" kg")&amp;
IF(Ablauf!AC38="",""," | "&amp;Ablauf!AC38&amp;" kg")&amp;
IF(Ablauf!D38="",""," | "&amp;Ablauf!D38)</f>
        <v/>
      </c>
      <c r="D73" s="483"/>
      <c r="E73" s="483" t="str">
        <f>IF(Ablauf!C38="","",Ablauf!W38)</f>
        <v/>
      </c>
      <c r="F73" s="486"/>
      <c r="G73" s="486"/>
      <c r="H73" s="489"/>
      <c r="I73" s="489"/>
      <c r="J73" s="489"/>
      <c r="K73" s="489"/>
      <c r="L73" s="489"/>
      <c r="W73" s="424"/>
      <c r="X73" s="424"/>
      <c r="Y73" s="424"/>
    </row>
    <row r="74" spans="1:25" ht="15.75">
      <c r="A74" s="480" t="str">
        <f>IF(Ablauf!C39="","",Ablauf!A39)</f>
        <v/>
      </c>
      <c r="B74" s="481" t="str">
        <f>IF(Ablauf!C39="","",Ablauf!C39)</f>
        <v/>
      </c>
      <c r="C74" s="482" t="str">
        <f>IF(Ablauf!AD39="","",Ablauf!AD39&amp;" min")&amp;
IF(Ablauf!X39="",""," | "&amp;Ablauf!X39&amp;" m")&amp;
IF(Ablauf!Y39="",""," | "&amp;Ablauf!Y39)&amp;
IF(Ablauf!Z39="",""," - "&amp;Ablauf!Z39&amp;" kg")&amp;
IF(Ablauf!AA39="",""," | "&amp;Ablauf!AA39)&amp;
IF(Ablauf!AB39="",""," - "&amp;Ablauf!AB39&amp;" kg")&amp;
IF(Ablauf!AC39="",""," | "&amp;Ablauf!AC39&amp;" kg")&amp;
IF(Ablauf!D39="",""," | "&amp;Ablauf!D39)</f>
        <v/>
      </c>
      <c r="D74" s="483"/>
      <c r="E74" s="483" t="str">
        <f>IF(Ablauf!C39="","",Ablauf!W39)</f>
        <v/>
      </c>
      <c r="F74" s="486"/>
      <c r="G74" s="486"/>
      <c r="H74" s="489"/>
      <c r="I74" s="489"/>
      <c r="J74" s="489"/>
      <c r="K74" s="489"/>
      <c r="L74" s="489"/>
      <c r="W74" s="424"/>
      <c r="X74" s="424"/>
      <c r="Y74" s="424"/>
    </row>
    <row r="75" spans="1:25" ht="15.75">
      <c r="A75" s="480" t="str">
        <f>IF(Ablauf!C40="","",Ablauf!A40)</f>
        <v/>
      </c>
      <c r="B75" s="481" t="str">
        <f>IF(Ablauf!C40="","",Ablauf!C40)</f>
        <v/>
      </c>
      <c r="C75" s="482" t="str">
        <f>IF(Ablauf!AD40="","",Ablauf!AD40&amp;" min")&amp;
IF(Ablauf!X40="",""," | "&amp;Ablauf!X40&amp;" m")&amp;
IF(Ablauf!Y40="",""," | "&amp;Ablauf!Y40)&amp;
IF(Ablauf!Z40="",""," - "&amp;Ablauf!Z40&amp;" kg")&amp;
IF(Ablauf!AA40="",""," | "&amp;Ablauf!AA40)&amp;
IF(Ablauf!AB40="",""," - "&amp;Ablauf!AB40&amp;" kg")&amp;
IF(Ablauf!AC40="",""," | "&amp;Ablauf!AC40&amp;" kg")&amp;
IF(Ablauf!D40="",""," | "&amp;Ablauf!D40)</f>
        <v>0 min</v>
      </c>
      <c r="D75" s="483"/>
      <c r="E75" s="483" t="str">
        <f>IF(Ablauf!C40="","",Ablauf!W40)</f>
        <v/>
      </c>
      <c r="F75" s="486"/>
      <c r="G75" s="486"/>
      <c r="H75" s="489"/>
      <c r="I75" s="489"/>
      <c r="J75" s="489"/>
      <c r="K75" s="489"/>
      <c r="L75" s="489"/>
      <c r="W75" s="424"/>
      <c r="X75" s="424"/>
      <c r="Y75" s="424"/>
    </row>
    <row r="76" spans="1:25" ht="15.75">
      <c r="A76" s="480" t="str">
        <f>IF(Ablauf!C41="","",Ablauf!A41)</f>
        <v/>
      </c>
      <c r="B76" s="481" t="str">
        <f>IF(Ablauf!C41="","",Ablauf!C41)</f>
        <v/>
      </c>
      <c r="C76" s="482" t="str">
        <f>IF(Ablauf!AD41="","",Ablauf!AD41&amp;" min")&amp;
IF(Ablauf!X41="",""," | "&amp;Ablauf!X41&amp;" m")&amp;
IF(Ablauf!Y41="",""," | "&amp;Ablauf!Y41)&amp;
IF(Ablauf!Z41="",""," - "&amp;Ablauf!Z41&amp;" kg")&amp;
IF(Ablauf!AA41="",""," | "&amp;Ablauf!AA41)&amp;
IF(Ablauf!AB41="",""," - "&amp;Ablauf!AB41&amp;" kg")&amp;
IF(Ablauf!AC41="",""," | "&amp;Ablauf!AC41&amp;" kg")&amp;
IF(Ablauf!D41="",""," | "&amp;Ablauf!D41)</f>
        <v/>
      </c>
      <c r="D76" s="483"/>
      <c r="E76" s="483" t="str">
        <f>IF(Ablauf!C41="","",Ablauf!W41)</f>
        <v/>
      </c>
      <c r="F76" s="486"/>
      <c r="G76" s="486"/>
      <c r="H76" s="489"/>
      <c r="I76" s="489"/>
      <c r="J76" s="489"/>
      <c r="K76" s="489"/>
      <c r="L76" s="489"/>
      <c r="W76" s="424"/>
      <c r="X76" s="424"/>
      <c r="Y76" s="424"/>
    </row>
    <row r="77" spans="1:25" ht="15.75">
      <c r="A77" s="480" t="str">
        <f>IF(Ablauf!C42="","",Ablauf!A42)</f>
        <v/>
      </c>
      <c r="B77" s="481" t="str">
        <f>IF(Ablauf!C42="","",Ablauf!C42)</f>
        <v/>
      </c>
      <c r="C77" s="482" t="str">
        <f>IF(Ablauf!AD42="","",Ablauf!AD42&amp;" min")&amp;
IF(Ablauf!X42="",""," | "&amp;Ablauf!X42&amp;" m")&amp;
IF(Ablauf!Y42="",""," | "&amp;Ablauf!Y42)&amp;
IF(Ablauf!Z42="",""," - "&amp;Ablauf!Z42&amp;" kg")&amp;
IF(Ablauf!AA42="",""," | "&amp;Ablauf!AA42)&amp;
IF(Ablauf!AB42="",""," - "&amp;Ablauf!AB42&amp;" kg")&amp;
IF(Ablauf!AC42="",""," | "&amp;Ablauf!AC42&amp;" kg")&amp;
IF(Ablauf!D42="",""," | "&amp;Ablauf!D42)</f>
        <v/>
      </c>
      <c r="D77" s="483"/>
      <c r="E77" s="483" t="str">
        <f>IF(Ablauf!C42="","",Ablauf!W42)</f>
        <v/>
      </c>
      <c r="F77" s="486"/>
      <c r="G77" s="486"/>
      <c r="H77" s="489"/>
      <c r="I77" s="489"/>
      <c r="J77" s="489"/>
      <c r="K77" s="489"/>
      <c r="L77" s="489"/>
      <c r="W77" s="424"/>
      <c r="X77" s="424"/>
      <c r="Y77" s="424"/>
    </row>
    <row r="78" spans="1:25" ht="15.75">
      <c r="A78" s="480" t="str">
        <f>IF(Ablauf!C43="","",Ablauf!A43)</f>
        <v/>
      </c>
      <c r="B78" s="481" t="str">
        <f>IF(Ablauf!C43="","",Ablauf!C43)</f>
        <v/>
      </c>
      <c r="C78" s="482" t="str">
        <f>IF(Ablauf!AD43="","",Ablauf!AD43&amp;" min")&amp;
IF(Ablauf!X43="",""," | "&amp;Ablauf!X43&amp;" m")&amp;
IF(Ablauf!Y43="",""," | "&amp;Ablauf!Y43)&amp;
IF(Ablauf!Z43="",""," - "&amp;Ablauf!Z43&amp;" kg")&amp;
IF(Ablauf!AA43="",""," | "&amp;Ablauf!AA43)&amp;
IF(Ablauf!AB43="",""," - "&amp;Ablauf!AB43&amp;" kg")&amp;
IF(Ablauf!AC43="",""," | "&amp;Ablauf!AC43&amp;" kg")&amp;
IF(Ablauf!D43="",""," | "&amp;Ablauf!D43)</f>
        <v/>
      </c>
      <c r="D78" s="483"/>
      <c r="E78" s="483" t="str">
        <f>IF(Ablauf!C43="","",Ablauf!W43)</f>
        <v/>
      </c>
      <c r="F78" s="488"/>
      <c r="G78" s="488"/>
      <c r="H78" s="489"/>
      <c r="I78" s="489"/>
      <c r="J78" s="489"/>
      <c r="K78" s="489"/>
      <c r="L78" s="489"/>
      <c r="W78" s="424"/>
      <c r="X78" s="424"/>
      <c r="Y78" s="424"/>
    </row>
    <row r="79" spans="1:25" ht="15.75">
      <c r="A79" s="480" t="str">
        <f>IF(Ablauf!C44="","",Ablauf!A44)</f>
        <v/>
      </c>
      <c r="B79" s="481" t="str">
        <f>IF(Ablauf!C44="","",Ablauf!C44)</f>
        <v/>
      </c>
      <c r="C79" s="482" t="str">
        <f>IF(Ablauf!AD44="","",Ablauf!AD44&amp;" min")&amp;
IF(Ablauf!X44="",""," | "&amp;Ablauf!X44&amp;" m")&amp;
IF(Ablauf!Y44="",""," | "&amp;Ablauf!Y44)&amp;
IF(Ablauf!Z44="",""," - "&amp;Ablauf!Z44&amp;" kg")&amp;
IF(Ablauf!AA44="",""," | "&amp;Ablauf!AA44)&amp;
IF(Ablauf!AB44="",""," - "&amp;Ablauf!AB44&amp;" kg")&amp;
IF(Ablauf!AC44="",""," | "&amp;Ablauf!AC44&amp;" kg")&amp;
IF(Ablauf!D44="",""," | "&amp;Ablauf!D44)</f>
        <v/>
      </c>
      <c r="D79" s="483"/>
      <c r="E79" s="483" t="str">
        <f>IF(Ablauf!C44="","",Ablauf!W44)</f>
        <v/>
      </c>
      <c r="F79" s="488"/>
      <c r="G79" s="488"/>
      <c r="H79" s="489"/>
      <c r="I79" s="489"/>
      <c r="J79" s="489"/>
      <c r="K79" s="489"/>
      <c r="L79" s="489"/>
      <c r="W79" s="424"/>
      <c r="X79" s="424"/>
      <c r="Y79" s="424"/>
    </row>
    <row r="80" spans="1:25" ht="15.75">
      <c r="A80" s="480" t="str">
        <f>IF(Ablauf!C45="","",Ablauf!A45)</f>
        <v/>
      </c>
      <c r="B80" s="481" t="str">
        <f>IF(Ablauf!C45="","",Ablauf!C45)</f>
        <v/>
      </c>
      <c r="C80" s="482" t="str">
        <f>IF(Ablauf!AD45="","",Ablauf!AD45&amp;" min")&amp;
IF(Ablauf!X45="",""," | "&amp;Ablauf!X45&amp;" m")&amp;
IF(Ablauf!Y45="",""," | "&amp;Ablauf!Y45)&amp;
IF(Ablauf!Z45="",""," - "&amp;Ablauf!Z45&amp;" kg")&amp;
IF(Ablauf!AA45="",""," | "&amp;Ablauf!AA45)&amp;
IF(Ablauf!AB45="",""," - "&amp;Ablauf!AB45&amp;" kg")&amp;
IF(Ablauf!AC45="",""," | "&amp;Ablauf!AC45&amp;" kg")&amp;
IF(Ablauf!D45="",""," | "&amp;Ablauf!D45)</f>
        <v/>
      </c>
      <c r="D80" s="483"/>
      <c r="E80" s="483" t="str">
        <f>IF(Ablauf!C45="","",Ablauf!W45)</f>
        <v/>
      </c>
      <c r="F80" s="489"/>
      <c r="G80" s="489"/>
      <c r="H80" s="489"/>
      <c r="I80" s="489"/>
      <c r="J80" s="489"/>
      <c r="K80" s="489"/>
      <c r="L80" s="489"/>
      <c r="W80" s="424"/>
      <c r="X80" s="424"/>
      <c r="Y80" s="424"/>
    </row>
    <row r="81" spans="1:25" ht="15.75">
      <c r="A81" s="480"/>
      <c r="B81" s="481"/>
      <c r="C81" s="482"/>
      <c r="D81" s="483"/>
      <c r="E81" s="483"/>
      <c r="F81" s="489"/>
      <c r="G81" s="489"/>
      <c r="H81" s="489"/>
      <c r="I81" s="489"/>
      <c r="J81" s="489"/>
      <c r="K81" s="489"/>
      <c r="L81" s="489"/>
      <c r="W81" s="424"/>
      <c r="X81" s="424"/>
      <c r="Y81" s="424"/>
    </row>
    <row r="82" spans="1:25" ht="15.75">
      <c r="A82" s="480"/>
      <c r="B82" s="481"/>
      <c r="C82" s="482"/>
      <c r="D82" s="483"/>
      <c r="E82" s="483"/>
      <c r="F82" s="489"/>
      <c r="G82" s="489"/>
      <c r="H82" s="489"/>
      <c r="I82" s="489"/>
      <c r="J82" s="489"/>
      <c r="K82" s="489"/>
      <c r="L82" s="489"/>
      <c r="W82" s="424"/>
      <c r="X82" s="424"/>
      <c r="Y82" s="424"/>
    </row>
    <row r="83" spans="1:25" ht="15.75">
      <c r="A83" s="480"/>
      <c r="B83" s="481"/>
      <c r="C83" s="482"/>
      <c r="D83" s="483"/>
      <c r="E83" s="483"/>
      <c r="F83" s="489"/>
      <c r="G83" s="489"/>
      <c r="H83" s="489"/>
      <c r="I83" s="489"/>
      <c r="J83" s="489"/>
      <c r="K83" s="489"/>
      <c r="L83" s="489"/>
      <c r="W83" s="424"/>
      <c r="X83" s="424"/>
      <c r="Y83" s="424"/>
    </row>
    <row r="84" spans="1:25" ht="15.75">
      <c r="A84" s="480" t="str">
        <f>IF(Ablauf!C46="","",Ablauf!A46)</f>
        <v/>
      </c>
      <c r="B84" s="481" t="str">
        <f>IF(Ablauf!C46="","",Ablauf!C46)</f>
        <v/>
      </c>
      <c r="C84" s="482" t="str">
        <f>IF(Ablauf!AD46="","",Ablauf!AD46&amp;" min")&amp;
IF(Ablauf!X46="",""," | "&amp;Ablauf!X46&amp;" m")&amp;
IF(Ablauf!Y46="",""," | "&amp;Ablauf!Y46)&amp;
IF(Ablauf!Z46="",""," - "&amp;Ablauf!Z46&amp;" kg")&amp;
IF(Ablauf!AA46="",""," | "&amp;Ablauf!AA46)&amp;
IF(Ablauf!AB46="",""," - "&amp;Ablauf!AB46&amp;" kg")&amp;
IF(Ablauf!AC46="",""," | "&amp;Ablauf!AC46&amp;" kg")&amp;
IF(Ablauf!D46="",""," | "&amp;Ablauf!D46)</f>
        <v/>
      </c>
      <c r="D84" s="483"/>
      <c r="E84" s="483" t="str">
        <f>IF(Ablauf!C46="","",Ablauf!W46)</f>
        <v/>
      </c>
      <c r="F84" s="489"/>
      <c r="G84" s="489"/>
      <c r="H84" s="489"/>
      <c r="I84" s="489"/>
      <c r="J84" s="489"/>
      <c r="K84" s="489"/>
      <c r="L84" s="489"/>
      <c r="W84" s="424"/>
      <c r="X84" s="424"/>
      <c r="Y84" s="424"/>
    </row>
    <row r="85" spans="1:25" ht="15.75">
      <c r="A85" s="480" t="str">
        <f>IF(Ablauf!C47="","",Ablauf!A47)</f>
        <v/>
      </c>
      <c r="B85" s="481" t="str">
        <f>IF(Ablauf!C47="","",Ablauf!C47)</f>
        <v/>
      </c>
      <c r="C85" s="482" t="str">
        <f>IF(Ablauf!AD47="","",Ablauf!AD47&amp;" min")&amp;
IF(Ablauf!X47="",""," | "&amp;Ablauf!X47&amp;" m")&amp;
IF(Ablauf!Y47="",""," | "&amp;Ablauf!Y47)&amp;
IF(Ablauf!Z47="",""," - "&amp;Ablauf!Z47&amp;" kg")&amp;
IF(Ablauf!AA47="",""," | "&amp;Ablauf!AA47)&amp;
IF(Ablauf!AB47="",""," - "&amp;Ablauf!AB47&amp;" kg")&amp;
IF(Ablauf!AC47="",""," | "&amp;Ablauf!AC47&amp;" kg")&amp;
IF(Ablauf!D47="",""," | "&amp;Ablauf!D47)</f>
        <v/>
      </c>
      <c r="D85" s="483"/>
      <c r="E85" s="483" t="str">
        <f>IF(Ablauf!C47="","",Ablauf!W47)</f>
        <v/>
      </c>
      <c r="F85" s="489"/>
      <c r="G85" s="489"/>
      <c r="H85" s="489"/>
      <c r="I85" s="489"/>
      <c r="J85" s="489"/>
      <c r="K85" s="489"/>
      <c r="L85" s="489"/>
      <c r="W85" s="424"/>
      <c r="X85" s="424"/>
      <c r="Y85" s="424"/>
    </row>
    <row r="86" spans="1:25" ht="15.75">
      <c r="A86" s="480" t="str">
        <f>IF(Ablauf!C48="","",Ablauf!A48)</f>
        <v/>
      </c>
      <c r="B86" s="481" t="str">
        <f>IF(Ablauf!C48="","",Ablauf!C48)</f>
        <v/>
      </c>
      <c r="C86" s="482" t="str">
        <f>IF(Ablauf!AD48="","",Ablauf!AD48&amp;" min")&amp;
IF(Ablauf!X48="",""," | "&amp;Ablauf!X48&amp;" m")&amp;
IF(Ablauf!Y48="",""," | "&amp;Ablauf!Y48)&amp;
IF(Ablauf!Z48="",""," - "&amp;Ablauf!Z48&amp;" kg")&amp;
IF(Ablauf!AA48="",""," | "&amp;Ablauf!AA48)&amp;
IF(Ablauf!AB48="",""," - "&amp;Ablauf!AB48&amp;" kg")&amp;
IF(Ablauf!AC48="",""," | "&amp;Ablauf!AC48&amp;" kg")&amp;
IF(Ablauf!D48="",""," | "&amp;Ablauf!D48)</f>
        <v/>
      </c>
      <c r="D86" s="483"/>
      <c r="E86" s="483" t="str">
        <f>IF(Ablauf!C48="","",Ablauf!W48)</f>
        <v/>
      </c>
      <c r="F86" s="489"/>
      <c r="G86" s="489"/>
      <c r="H86" s="489"/>
      <c r="I86" s="489"/>
      <c r="J86" s="489"/>
      <c r="K86" s="489"/>
      <c r="L86" s="489"/>
      <c r="W86" s="424"/>
      <c r="X86" s="424"/>
      <c r="Y86" s="424"/>
    </row>
    <row r="87" spans="1:25" ht="15.75">
      <c r="A87" s="480" t="str">
        <f>IF(Ablauf!C49="","",Ablauf!A49)</f>
        <v/>
      </c>
      <c r="B87" s="481" t="str">
        <f>IF(Ablauf!C49="","",Ablauf!C49)</f>
        <v/>
      </c>
      <c r="C87" s="482" t="str">
        <f>IF(Ablauf!AD49="","",Ablauf!AD49&amp;" min")&amp;
IF(Ablauf!X49="",""," | "&amp;Ablauf!X49&amp;" m")&amp;
IF(Ablauf!Y49="",""," | "&amp;Ablauf!Y49)&amp;
IF(Ablauf!Z49="",""," - "&amp;Ablauf!Z49&amp;" kg")&amp;
IF(Ablauf!AA49="",""," | "&amp;Ablauf!AA49)&amp;
IF(Ablauf!AB49="",""," - "&amp;Ablauf!AB49&amp;" kg")&amp;
IF(Ablauf!AC49="",""," | "&amp;Ablauf!AC49&amp;" kg")&amp;
IF(Ablauf!D49="",""," | "&amp;Ablauf!D49)</f>
        <v/>
      </c>
      <c r="D87" s="483"/>
      <c r="E87" s="483" t="str">
        <f>IF(Ablauf!C49="","",Ablauf!W49)</f>
        <v/>
      </c>
      <c r="F87" s="489"/>
      <c r="G87" s="489"/>
      <c r="H87" s="489"/>
      <c r="I87" s="489"/>
      <c r="J87" s="489"/>
      <c r="K87" s="489"/>
      <c r="L87" s="489"/>
      <c r="W87" s="424"/>
      <c r="X87" s="424"/>
      <c r="Y87" s="424"/>
    </row>
    <row r="88" spans="1:25" ht="15.75">
      <c r="A88" s="480" t="str">
        <f>IF(Ablauf!C50="","",Ablauf!A50)</f>
        <v/>
      </c>
      <c r="B88" s="481" t="str">
        <f>IF(Ablauf!C50="","",Ablauf!C50)</f>
        <v/>
      </c>
      <c r="C88" s="482" t="str">
        <f>IF(Ablauf!AD50="","",Ablauf!AD50&amp;" min")&amp;
IF(Ablauf!X50="",""," | "&amp;Ablauf!X50&amp;" m")&amp;
IF(Ablauf!Y50="",""," | "&amp;Ablauf!Y50)&amp;
IF(Ablauf!Z50="",""," - "&amp;Ablauf!Z50&amp;" kg")&amp;
IF(Ablauf!AA50="",""," | "&amp;Ablauf!AA50)&amp;
IF(Ablauf!AB50="",""," - "&amp;Ablauf!AB50&amp;" kg")&amp;
IF(Ablauf!AC50="",""," | "&amp;Ablauf!AC50&amp;" kg")&amp;
IF(Ablauf!D50="",""," | "&amp;Ablauf!D50)</f>
        <v/>
      </c>
      <c r="D88" s="483"/>
      <c r="E88" s="483" t="str">
        <f>IF(Ablauf!C50="","",Ablauf!W50)</f>
        <v/>
      </c>
      <c r="F88" s="489"/>
      <c r="G88" s="489"/>
      <c r="H88" s="478"/>
      <c r="I88" s="478"/>
    </row>
    <row r="89" spans="1:25" ht="15.75">
      <c r="A89" s="480" t="str">
        <f>IF(Ablauf!C51="","",Ablauf!A51)</f>
        <v/>
      </c>
      <c r="B89" s="481" t="str">
        <f>IF(Ablauf!C51="","",Ablauf!C51)</f>
        <v/>
      </c>
      <c r="C89" s="482" t="str">
        <f>IF(Ablauf!AD51="","",Ablauf!AD51&amp;" min")&amp;
IF(Ablauf!X51="",""," | "&amp;Ablauf!X51&amp;" m")&amp;
IF(Ablauf!Y51="",""," | "&amp;Ablauf!Y51)&amp;
IF(Ablauf!Z51="",""," - "&amp;Ablauf!Z51&amp;" kg")&amp;
IF(Ablauf!AA51="",""," | "&amp;Ablauf!AA51)&amp;
IF(Ablauf!AB51="",""," - "&amp;Ablauf!AB51&amp;" kg")&amp;
IF(Ablauf!AC51="",""," | "&amp;Ablauf!AC51&amp;" kg")&amp;
IF(Ablauf!D51="",""," | "&amp;Ablauf!D51)</f>
        <v/>
      </c>
      <c r="D89" s="483"/>
      <c r="E89" s="483" t="str">
        <f>IF(Ablauf!C51="","",Ablauf!W51)</f>
        <v/>
      </c>
      <c r="F89" s="489"/>
      <c r="G89" s="489"/>
      <c r="H89" s="478"/>
      <c r="I89" s="478"/>
    </row>
    <row r="90" spans="1:25" ht="15.75">
      <c r="A90" s="480" t="str">
        <f>IF(Ablauf!C52="","",Ablauf!A52)</f>
        <v/>
      </c>
      <c r="B90" s="481" t="str">
        <f>IF(Ablauf!C52="","",Ablauf!C52)</f>
        <v/>
      </c>
      <c r="C90" s="482" t="str">
        <f>IF(Ablauf!AD52="","",Ablauf!AD52&amp;" min")&amp;
IF(Ablauf!X52="",""," | "&amp;Ablauf!X52&amp;" m")&amp;
IF(Ablauf!Y52="",""," | "&amp;Ablauf!Y52)&amp;
IF(Ablauf!Z52="",""," - "&amp;Ablauf!Z52&amp;" kg")&amp;
IF(Ablauf!AA52="",""," | "&amp;Ablauf!AA52)&amp;
IF(Ablauf!AB52="",""," - "&amp;Ablauf!AB52&amp;" kg")&amp;
IF(Ablauf!AC52="",""," | "&amp;Ablauf!AC52&amp;" kg")&amp;
IF(Ablauf!D52="",""," | "&amp;Ablauf!D52)</f>
        <v/>
      </c>
      <c r="D90" s="483"/>
      <c r="E90" s="483" t="str">
        <f>IF(Ablauf!C52="","",Ablauf!W52)</f>
        <v/>
      </c>
      <c r="F90" s="489"/>
      <c r="G90" s="489"/>
      <c r="H90" s="478"/>
      <c r="I90" s="478"/>
    </row>
    <row r="91" spans="1:25" ht="15.75">
      <c r="A91" s="480" t="str">
        <f>IF(Ablauf!C53="","",Ablauf!A53)</f>
        <v/>
      </c>
      <c r="B91" s="481" t="str">
        <f>IF(Ablauf!C53="","",Ablauf!C53)</f>
        <v/>
      </c>
      <c r="C91" s="482" t="str">
        <f>IF(Ablauf!AD53="","",Ablauf!AD53&amp;" min")&amp;
IF(Ablauf!X53="",""," | "&amp;Ablauf!X53&amp;" m")&amp;
IF(Ablauf!Y53="",""," | "&amp;Ablauf!Y53)&amp;
IF(Ablauf!Z53="",""," - "&amp;Ablauf!Z53&amp;" kg")&amp;
IF(Ablauf!AA53="",""," | "&amp;Ablauf!AA53)&amp;
IF(Ablauf!AB53="",""," - "&amp;Ablauf!AB53&amp;" kg")&amp;
IF(Ablauf!AC53="",""," | "&amp;Ablauf!AC53&amp;" kg")&amp;
IF(Ablauf!D53="",""," | "&amp;Ablauf!D53)</f>
        <v/>
      </c>
      <c r="D91" s="483"/>
      <c r="E91" s="483" t="str">
        <f>IF(Ablauf!C53="","",Ablauf!W53)</f>
        <v/>
      </c>
      <c r="F91" s="489"/>
      <c r="G91" s="489"/>
    </row>
    <row r="92" spans="1:25" ht="15.75">
      <c r="A92" s="480" t="str">
        <f>IF(Ablauf!C54="","",Ablauf!A54)</f>
        <v/>
      </c>
      <c r="B92" s="481" t="str">
        <f>IF(Ablauf!C54="","",Ablauf!C54)</f>
        <v/>
      </c>
      <c r="C92" s="482" t="str">
        <f>IF(Ablauf!AD54="","",Ablauf!AD54&amp;" min")&amp;
IF(Ablauf!X54="",""," | "&amp;Ablauf!X54&amp;" m")&amp;
IF(Ablauf!Y54="",""," | "&amp;Ablauf!Y54)&amp;
IF(Ablauf!Z54="",""," - "&amp;Ablauf!Z54&amp;" kg")&amp;
IF(Ablauf!AA54="",""," | "&amp;Ablauf!AA54)&amp;
IF(Ablauf!AB54="",""," - "&amp;Ablauf!AB54&amp;" kg")&amp;
IF(Ablauf!AC54="",""," | "&amp;Ablauf!AC54&amp;" kg")&amp;
IF(Ablauf!D54="",""," | "&amp;Ablauf!D54)</f>
        <v/>
      </c>
      <c r="D92" s="483"/>
      <c r="E92" s="483" t="str">
        <f>IF(Ablauf!C54="","",Ablauf!W54)</f>
        <v/>
      </c>
      <c r="F92" s="489"/>
      <c r="G92" s="489"/>
    </row>
    <row r="93" spans="1:25" ht="15.75">
      <c r="A93" s="480" t="str">
        <f>IF(Ablauf!C55="","",Ablauf!A55)</f>
        <v/>
      </c>
      <c r="B93" s="481" t="str">
        <f>IF(Ablauf!C55="","",Ablauf!C55)</f>
        <v/>
      </c>
      <c r="C93" s="482" t="str">
        <f>IF(Ablauf!AD55="","",Ablauf!AD55&amp;" min")&amp;
IF(Ablauf!X55="",""," | "&amp;Ablauf!X55&amp;" m")&amp;
IF(Ablauf!Y55="",""," | "&amp;Ablauf!Y55)&amp;
IF(Ablauf!Z55="",""," - "&amp;Ablauf!Z55&amp;" kg")&amp;
IF(Ablauf!AA55="",""," | "&amp;Ablauf!AA55)&amp;
IF(Ablauf!AB55="",""," - "&amp;Ablauf!AB55&amp;" kg")&amp;
IF(Ablauf!AC55="",""," | "&amp;Ablauf!AC55&amp;" kg")&amp;
IF(Ablauf!D55="",""," | "&amp;Ablauf!D55)</f>
        <v/>
      </c>
      <c r="D93" s="483"/>
      <c r="E93" s="483" t="str">
        <f>IF(Ablauf!C55="","",Ablauf!W55)</f>
        <v/>
      </c>
    </row>
    <row r="94" spans="1:25" ht="36" customHeight="1">
      <c r="A94" s="714" t="str">
        <f>C9</f>
        <v>215007SADI1</v>
      </c>
      <c r="B94" s="714"/>
      <c r="C94" s="714"/>
      <c r="D94" s="714"/>
      <c r="E94" s="425" t="s">
        <v>303</v>
      </c>
      <c r="F94" s="472"/>
      <c r="G94" s="470"/>
    </row>
    <row r="95" spans="1:25" ht="15">
      <c r="A95" s="473" t="s">
        <v>52</v>
      </c>
      <c r="B95" s="473"/>
      <c r="C95" s="708" t="s">
        <v>275</v>
      </c>
      <c r="D95" s="708"/>
      <c r="E95" s="435" t="s">
        <v>54</v>
      </c>
      <c r="F95" s="479"/>
      <c r="G95" s="478"/>
    </row>
    <row r="96" spans="1:25" ht="15.75">
      <c r="A96" s="480">
        <f>IF(Ablauf!C20="","",Ablauf!A20)</f>
        <v>1</v>
      </c>
      <c r="B96" s="481" t="str">
        <f>IF(Ablauf!C20="","",Ablauf!C20)</f>
        <v>Material Zuschnitt</v>
      </c>
      <c r="C96" s="482" t="str">
        <f>IF(Ablauf!X20="",""," | "&amp;Ablauf!X20&amp;" m")&amp;
IF(Ablauf!Y20="",""," | "&amp;Ablauf!Y20)&amp;
IF(Ablauf!Z20="",""," - "&amp;Ablauf!Z20&amp;" kg")&amp;
IF(Ablauf!AA20="",""," | "&amp;Ablauf!AA20)&amp;
IF(Ablauf!AB20="",""," - "&amp;Ablauf!AB20&amp;" kg")&amp;
IF(Ablauf!AC20="",""," | "&amp;Ablauf!AC20&amp;" kg")&amp;
IF(Ablauf!D20="",""," | "&amp;Ablauf!D20)</f>
        <v/>
      </c>
      <c r="D96" s="483" t="str">
        <f t="shared" ref="D96:D134" si="0">IF(D55="","",D55)</f>
        <v/>
      </c>
      <c r="E96" s="483" t="str">
        <f>IF(Ablauf!C20="","",Ablauf!W20)</f>
        <v>ZU-000 Zuschnitt</v>
      </c>
      <c r="F96" s="479"/>
      <c r="G96" s="478"/>
    </row>
    <row r="97" spans="1:7" ht="15.75">
      <c r="A97" s="480">
        <f>IF(Ablauf!C21="","",Ablauf!A21)</f>
        <v>2</v>
      </c>
      <c r="B97" s="481" t="str">
        <f>IF(Ablauf!C21="","",Ablauf!C21)</f>
        <v>Preforming</v>
      </c>
      <c r="C97" s="482" t="str">
        <f>IF(Ablauf!X21="",""," | "&amp;Ablauf!X21&amp;" m")&amp;
IF(Ablauf!Y21="",""," | "&amp;Ablauf!Y21)&amp;
IF(Ablauf!Z21="",""," - "&amp;Ablauf!Z21&amp;" kg")&amp;
IF(Ablauf!AA21="",""," | "&amp;Ablauf!AA21)&amp;
IF(Ablauf!AB21="",""," - "&amp;Ablauf!AB21&amp;" kg")&amp;
IF(Ablauf!AC21="",""," | "&amp;Ablauf!AC21&amp;" kg")&amp;
IF(Ablauf!D21="",""," | "&amp;Ablauf!D21)</f>
        <v/>
      </c>
      <c r="D97" s="483" t="str">
        <f t="shared" si="0"/>
        <v/>
      </c>
      <c r="E97" s="483" t="str">
        <f>IF(Ablauf!C21="","",Ablauf!W21)</f>
        <v>PR-000 Preforming</v>
      </c>
      <c r="F97" s="479"/>
      <c r="G97" s="478"/>
    </row>
    <row r="98" spans="1:7" ht="15.75">
      <c r="A98" s="480">
        <f>IF(Ablauf!C22="","",Ablauf!A22)</f>
        <v>3</v>
      </c>
      <c r="B98" s="481" t="str">
        <f>IF(Ablauf!C22="","",Ablauf!C22)</f>
        <v>Formen reinigen</v>
      </c>
      <c r="C98" s="482" t="str">
        <f>IF(Ablauf!X22="",""," | "&amp;Ablauf!X22&amp;" m")&amp;
IF(Ablauf!Y22="",""," | "&amp;Ablauf!Y22)&amp;
IF(Ablauf!Z22="",""," - "&amp;Ablauf!Z22&amp;" kg")&amp;
IF(Ablauf!AA22="",""," | "&amp;Ablauf!AA22)&amp;
IF(Ablauf!AB22="",""," - "&amp;Ablauf!AB22&amp;" kg")&amp;
IF(Ablauf!AC22="",""," | "&amp;Ablauf!AC22&amp;" kg")&amp;
IF(Ablauf!D22="",""," | "&amp;Ablauf!D22)</f>
        <v/>
      </c>
      <c r="D98" s="483" t="str">
        <f t="shared" si="0"/>
        <v/>
      </c>
      <c r="E98" s="483" t="str">
        <f>IF(Ablauf!C22="","",Ablauf!W22)</f>
        <v>FV-000 Formvorbereitung</v>
      </c>
    </row>
    <row r="99" spans="1:7" ht="15.75">
      <c r="A99" s="480">
        <f>IF(Ablauf!C23="","",Ablauf!A23)</f>
        <v>4</v>
      </c>
      <c r="B99" s="481" t="str">
        <f>IF(Ablauf!C23="","",Ablauf!C23)</f>
        <v>Formen eintrennen u. polieren</v>
      </c>
      <c r="C99" s="482" t="str">
        <f>IF(Ablauf!X23="",""," | "&amp;Ablauf!X23&amp;" m")&amp;
IF(Ablauf!Y23="",""," | "&amp;Ablauf!Y23)&amp;
IF(Ablauf!Z23="",""," - "&amp;Ablauf!Z23&amp;" kg")&amp;
IF(Ablauf!AA23="",""," | "&amp;Ablauf!AA23)&amp;
IF(Ablauf!AB23="",""," - "&amp;Ablauf!AB23&amp;" kg")&amp;
IF(Ablauf!AC23="",""," | "&amp;Ablauf!AC23&amp;" kg")&amp;
IF(Ablauf!D23="",""," | "&amp;Ablauf!D23)</f>
        <v/>
      </c>
      <c r="D99" s="483" t="str">
        <f t="shared" si="0"/>
        <v/>
      </c>
      <c r="E99" s="483" t="str">
        <f>IF(Ablauf!C23="","",Ablauf!W23)</f>
        <v>FV-000 Formvorbereitung</v>
      </c>
    </row>
    <row r="100" spans="1:7" ht="15.75">
      <c r="A100" s="480">
        <f>IF(Ablauf!C24="","",Ablauf!A24)</f>
        <v>5</v>
      </c>
      <c r="B100" s="481" t="str">
        <f>IF(Ablauf!C24="","",Ablauf!C24)</f>
        <v>Gelcoat streichen</v>
      </c>
      <c r="C100" s="482" t="str">
        <f>IF(Ablauf!X24="",""," | "&amp;Ablauf!X24&amp;" m")&amp;
IF(Ablauf!Y24="",""," | "&amp;Ablauf!Y24)&amp;
IF(Ablauf!Z24="",""," - "&amp;Ablauf!Z24&amp;" kg")&amp;
IF(Ablauf!AA24="",""," | "&amp;Ablauf!AA24)&amp;
IF(Ablauf!AB24="",""," - "&amp;Ablauf!AB24&amp;" kg")&amp;
IF(Ablauf!AC24="",""," | "&amp;Ablauf!AC24&amp;" kg")&amp;
IF(Ablauf!D24="",""," | "&amp;Ablauf!D24)</f>
        <v xml:space="preserve"> | RAL 7035 - 0,8 kg</v>
      </c>
      <c r="D100" s="483" t="str">
        <f t="shared" si="0"/>
        <v/>
      </c>
      <c r="E100" s="483" t="str">
        <f>IF(Ablauf!C24="","",Ablauf!W24)</f>
        <v>CO-000 Coating</v>
      </c>
    </row>
    <row r="101" spans="1:7" ht="15.75">
      <c r="A101" s="480">
        <f>IF(Ablauf!C25="","",Ablauf!A25)</f>
        <v>6</v>
      </c>
      <c r="B101" s="481" t="str">
        <f>IF(Ablauf!C25="","",Ablauf!C25)</f>
        <v>Gelcoat streichen</v>
      </c>
      <c r="C101" s="482" t="str">
        <f>IF(Ablauf!X25="",""," | "&amp;Ablauf!X25&amp;" m")&amp;
IF(Ablauf!Y25="",""," | "&amp;Ablauf!Y25)&amp;
IF(Ablauf!Z25="",""," - "&amp;Ablauf!Z25&amp;" kg")&amp;
IF(Ablauf!AA25="",""," | "&amp;Ablauf!AA25)&amp;
IF(Ablauf!AB25="",""," - "&amp;Ablauf!AB25&amp;" kg")&amp;
IF(Ablauf!AC25="",""," | "&amp;Ablauf!AC25&amp;" kg")&amp;
IF(Ablauf!D25="",""," | "&amp;Ablauf!D25)</f>
        <v xml:space="preserve"> | RAL 7035 - 0,8 kg</v>
      </c>
      <c r="D101" s="483" t="str">
        <f t="shared" si="0"/>
        <v/>
      </c>
      <c r="E101" s="483" t="str">
        <f>IF(Ablauf!C25="","",Ablauf!W25)</f>
        <v>CO-000 Coating</v>
      </c>
    </row>
    <row r="102" spans="1:7" ht="15.75">
      <c r="A102" s="480">
        <f>IF(Ablauf!C26="","",Ablauf!A26)</f>
        <v>7</v>
      </c>
      <c r="B102" s="481" t="str">
        <f>IF(Ablauf!C26="","",Ablauf!C26)</f>
        <v>Abreissgewebe 83 g/m²</v>
      </c>
      <c r="C102" s="482" t="str">
        <f>IF(Ablauf!X26="",""," | "&amp;Ablauf!X26&amp;" m")&amp;
IF(Ablauf!Y26="",""," | "&amp;Ablauf!Y26)&amp;
IF(Ablauf!Z26="",""," - "&amp;Ablauf!Z26&amp;" kg")&amp;
IF(Ablauf!AA26="",""," | "&amp;Ablauf!AA26)&amp;
IF(Ablauf!AB26="",""," - "&amp;Ablauf!AB26&amp;" kg")&amp;
IF(Ablauf!AC26="",""," | "&amp;Ablauf!AC26&amp;" kg")&amp;
IF(Ablauf!D26="",""," | "&amp;Ablauf!D26)</f>
        <v/>
      </c>
      <c r="D102" s="483" t="str">
        <f t="shared" si="0"/>
        <v/>
      </c>
      <c r="E102" s="483" t="str">
        <f>IF(Ablauf!C26="","",Ablauf!W26)</f>
        <v>ML-000 Matte-Laminieren</v>
      </c>
    </row>
    <row r="103" spans="1:7" ht="15.75">
      <c r="A103" s="480">
        <f>IF(Ablauf!C27="","",Ablauf!A27)</f>
        <v>8</v>
      </c>
      <c r="B103" s="481" t="str">
        <f>IF(Ablauf!C27="","",Ablauf!C27)</f>
        <v>K1800 235 g/m²</v>
      </c>
      <c r="C103" s="482" t="str">
        <f>IF(Ablauf!X27="",""," | "&amp;Ablauf!X27&amp;" m")&amp;
IF(Ablauf!Y27="",""," | "&amp;Ablauf!Y27)&amp;
IF(Ablauf!Z27="",""," - "&amp;Ablauf!Z27&amp;" kg")&amp;
IF(Ablauf!AA27="",""," | "&amp;Ablauf!AA27)&amp;
IF(Ablauf!AB27="",""," - "&amp;Ablauf!AB27&amp;" kg")&amp;
IF(Ablauf!AC27="",""," | "&amp;Ablauf!AC27&amp;" kg")&amp;
IF(Ablauf!D27="",""," | "&amp;Ablauf!D27)</f>
        <v/>
      </c>
      <c r="D103" s="483" t="str">
        <f t="shared" si="0"/>
        <v/>
      </c>
      <c r="E103" s="483" t="str">
        <f>IF(Ablauf!C27="","",Ablauf!W27)</f>
        <v>ML-000 Matte-Laminieren</v>
      </c>
    </row>
    <row r="104" spans="1:7" ht="15.75">
      <c r="A104" s="480">
        <f>IF(Ablauf!C28="","",Ablauf!A28)</f>
        <v>9</v>
      </c>
      <c r="B104" s="481" t="str">
        <f>IF(Ablauf!C28="","",Ablauf!C28)</f>
        <v>K1800 235 g/m²</v>
      </c>
      <c r="C104" s="482" t="str">
        <f>IF(Ablauf!X28="",""," | "&amp;Ablauf!X28&amp;" m")&amp;
IF(Ablauf!Y28="",""," | "&amp;Ablauf!Y28)&amp;
IF(Ablauf!Z28="",""," - "&amp;Ablauf!Z28&amp;" kg")&amp;
IF(Ablauf!AA28="",""," | "&amp;Ablauf!AA28)&amp;
IF(Ablauf!AB28="",""," - "&amp;Ablauf!AB28&amp;" kg")&amp;
IF(Ablauf!AC28="",""," | "&amp;Ablauf!AC28&amp;" kg")&amp;
IF(Ablauf!D28="",""," | "&amp;Ablauf!D28)</f>
        <v/>
      </c>
      <c r="D104" s="483" t="str">
        <f t="shared" si="0"/>
        <v/>
      </c>
      <c r="E104" s="483" t="str">
        <f>IF(Ablauf!C28="","",Ablauf!W28)</f>
        <v>ML-000 Matte-Laminieren</v>
      </c>
    </row>
    <row r="105" spans="1:7" ht="15.75">
      <c r="A105" s="480">
        <f>IF(Ablauf!C29="","",Ablauf!A29)</f>
        <v>10</v>
      </c>
      <c r="B105" s="481" t="str">
        <f>IF(Ablauf!C29="","",Ablauf!C29)</f>
        <v>K1800 235 g/m²</v>
      </c>
      <c r="C105" s="482" t="str">
        <f>IF(Ablauf!X29="",""," | "&amp;Ablauf!X29&amp;" m")&amp;
IF(Ablauf!Y29="",""," | "&amp;Ablauf!Y29)&amp;
IF(Ablauf!Z29="",""," - "&amp;Ablauf!Z29&amp;" kg")&amp;
IF(Ablauf!AA29="",""," | "&amp;Ablauf!AA29)&amp;
IF(Ablauf!AB29="",""," - "&amp;Ablauf!AB29&amp;" kg")&amp;
IF(Ablauf!AC29="",""," | "&amp;Ablauf!AC29&amp;" kg")&amp;
IF(Ablauf!D29="",""," | "&amp;Ablauf!D29)</f>
        <v/>
      </c>
      <c r="D105" s="483" t="str">
        <f t="shared" si="0"/>
        <v/>
      </c>
      <c r="E105" s="483" t="str">
        <f>IF(Ablauf!C29="","",Ablauf!W29)</f>
        <v>ML-000 Matte-Laminieren</v>
      </c>
    </row>
    <row r="106" spans="1:7" ht="15.75">
      <c r="A106" s="480">
        <f>IF(Ablauf!C30="","",Ablauf!A30)</f>
        <v>11</v>
      </c>
      <c r="B106" s="481" t="str">
        <f>IF(Ablauf!C30="","",Ablauf!C30)</f>
        <v>K1800 235 g/m²</v>
      </c>
      <c r="C106" s="482" t="str">
        <f>IF(Ablauf!X30="",""," | "&amp;Ablauf!X30&amp;" m")&amp;
IF(Ablauf!Y30="",""," | "&amp;Ablauf!Y30)&amp;
IF(Ablauf!Z30="",""," - "&amp;Ablauf!Z30&amp;" kg")&amp;
IF(Ablauf!AA30="",""," | "&amp;Ablauf!AA30)&amp;
IF(Ablauf!AB30="",""," - "&amp;Ablauf!AB30&amp;" kg")&amp;
IF(Ablauf!AC30="",""," | "&amp;Ablauf!AC30&amp;" kg")&amp;
IF(Ablauf!D30="",""," | "&amp;Ablauf!D30)</f>
        <v/>
      </c>
      <c r="D106" s="483" t="str">
        <f t="shared" si="0"/>
        <v/>
      </c>
      <c r="E106" s="483" t="str">
        <f>IF(Ablauf!C30="","",Ablauf!W30)</f>
        <v>ML-000 Matte-Laminieren</v>
      </c>
    </row>
    <row r="107" spans="1:7" ht="15.75">
      <c r="A107" s="480">
        <f>IF(Ablauf!C31="","",Ablauf!A31)</f>
        <v>12</v>
      </c>
      <c r="B107" s="481" t="str">
        <f>IF(Ablauf!C31="","",Ablauf!C31)</f>
        <v>Tempern</v>
      </c>
      <c r="C107" s="482" t="str">
        <f>IF(Ablauf!X31="",""," | "&amp;Ablauf!X31&amp;" m")&amp;
IF(Ablauf!Y31="",""," | "&amp;Ablauf!Y31)&amp;
IF(Ablauf!Z31="",""," - "&amp;Ablauf!Z31&amp;" kg")&amp;
IF(Ablauf!AA31="",""," | "&amp;Ablauf!AA31)&amp;
IF(Ablauf!AB31="",""," - "&amp;Ablauf!AB31&amp;" kg")&amp;
IF(Ablauf!AC31="",""," | "&amp;Ablauf!AC31&amp;" kg")&amp;
IF(Ablauf!D31="",""," | "&amp;Ablauf!D31)</f>
        <v/>
      </c>
      <c r="D107" s="483" t="str">
        <f t="shared" si="0"/>
        <v/>
      </c>
      <c r="E107" s="483" t="str">
        <f>IF(Ablauf!C31="","",Ablauf!W31)</f>
        <v>TE-000 Tempern</v>
      </c>
    </row>
    <row r="108" spans="1:7" ht="15.75">
      <c r="A108" s="480">
        <f>IF(Ablauf!C32="","",Ablauf!A32)</f>
        <v>13</v>
      </c>
      <c r="B108" s="481" t="str">
        <f>IF(Ablauf!C32="","",Ablauf!C32)</f>
        <v>Entformen</v>
      </c>
      <c r="C108" s="482" t="str">
        <f>IF(Ablauf!X32="",""," | "&amp;Ablauf!X32&amp;" m")&amp;
IF(Ablauf!Y32="",""," | "&amp;Ablauf!Y32)&amp;
IF(Ablauf!Z32="",""," - "&amp;Ablauf!Z32&amp;" kg")&amp;
IF(Ablauf!AA32="",""," | "&amp;Ablauf!AA32)&amp;
IF(Ablauf!AB32="",""," - "&amp;Ablauf!AB32&amp;" kg")&amp;
IF(Ablauf!AC32="",""," | "&amp;Ablauf!AC32&amp;" kg")&amp;
IF(Ablauf!D32="",""," | "&amp;Ablauf!D32)</f>
        <v/>
      </c>
      <c r="D108" s="483" t="str">
        <f t="shared" si="0"/>
        <v/>
      </c>
      <c r="E108" s="483" t="str">
        <f>IF(Ablauf!C32="","",Ablauf!W32)</f>
        <v>EF-000 Entformen</v>
      </c>
    </row>
    <row r="109" spans="1:7" ht="15.75">
      <c r="A109" s="480">
        <f>IF(Ablauf!C33="","",Ablauf!A33)</f>
        <v>14</v>
      </c>
      <c r="B109" s="481" t="str">
        <f>IF(Ablauf!C33="","",Ablauf!C33)</f>
        <v xml:space="preserve">Beschneiden </v>
      </c>
      <c r="C109" s="482" t="str">
        <f>IF(Ablauf!X33="",""," | "&amp;Ablauf!X33&amp;" m")&amp;
IF(Ablauf!Y33="",""," | "&amp;Ablauf!Y33)&amp;
IF(Ablauf!Z33="",""," - "&amp;Ablauf!Z33&amp;" kg")&amp;
IF(Ablauf!AA33="",""," | "&amp;Ablauf!AA33)&amp;
IF(Ablauf!AB33="",""," - "&amp;Ablauf!AB33&amp;" kg")&amp;
IF(Ablauf!AC33="",""," | "&amp;Ablauf!AC33&amp;" kg")&amp;
IF(Ablauf!D33="",""," | "&amp;Ablauf!D33)</f>
        <v xml:space="preserve"> | 20 m</v>
      </c>
      <c r="D109" s="483" t="str">
        <f t="shared" si="0"/>
        <v/>
      </c>
      <c r="E109" s="483" t="str">
        <f>IF(Ablauf!C33="","",Ablauf!W33)</f>
        <v>BS-000 Beschnitt</v>
      </c>
    </row>
    <row r="110" spans="1:7" ht="15.75">
      <c r="A110" s="480">
        <f>IF(Ablauf!C34="","",Ablauf!A34)</f>
        <v>15</v>
      </c>
      <c r="B110" s="481" t="str">
        <f>IF(Ablauf!C34="","",Ablauf!C34)</f>
        <v>Montage Zukaufteile</v>
      </c>
      <c r="C110" s="482" t="str">
        <f>IF(Ablauf!X34="",""," | "&amp;Ablauf!X34&amp;" m")&amp;
IF(Ablauf!Y34="",""," | "&amp;Ablauf!Y34)&amp;
IF(Ablauf!Z34="",""," - "&amp;Ablauf!Z34&amp;" kg")&amp;
IF(Ablauf!AA34="",""," | "&amp;Ablauf!AA34)&amp;
IF(Ablauf!AB34="",""," - "&amp;Ablauf!AB34&amp;" kg")&amp;
IF(Ablauf!AC34="",""," | "&amp;Ablauf!AC34&amp;" kg")&amp;
IF(Ablauf!D34="",""," | "&amp;Ablauf!D34)</f>
        <v/>
      </c>
      <c r="D110" s="483" t="str">
        <f t="shared" si="0"/>
        <v/>
      </c>
      <c r="E110" s="483" t="str">
        <f>IF(Ablauf!C34="","",Ablauf!W34)</f>
        <v/>
      </c>
    </row>
    <row r="111" spans="1:7" ht="15.75">
      <c r="A111" s="480">
        <f>IF(Ablauf!C35="","",Ablauf!A35)</f>
        <v>16</v>
      </c>
      <c r="B111" s="481" t="str">
        <f>IF(Ablauf!C35="","",Ablauf!C35)</f>
        <v>Qualitätsprüfung</v>
      </c>
      <c r="C111" s="482" t="str">
        <f>IF(Ablauf!X35="",""," | "&amp;Ablauf!X35&amp;" m")&amp;
IF(Ablauf!Y35="",""," | "&amp;Ablauf!Y35)&amp;
IF(Ablauf!Z35="",""," - "&amp;Ablauf!Z35&amp;" kg")&amp;
IF(Ablauf!AA35="",""," | "&amp;Ablauf!AA35)&amp;
IF(Ablauf!AB35="",""," - "&amp;Ablauf!AB35&amp;" kg")&amp;
IF(Ablauf!AC35="",""," | "&amp;Ablauf!AC35&amp;" kg")&amp;
IF(Ablauf!D35="",""," | "&amp;Ablauf!D35)</f>
        <v xml:space="preserve"> | 4,52 kg</v>
      </c>
      <c r="D111" s="483" t="str">
        <f t="shared" si="0"/>
        <v/>
      </c>
      <c r="E111" s="483" t="str">
        <f>IF(Ablauf!C35="","",Ablauf!W35)</f>
        <v>QK-000 Endkontrolle</v>
      </c>
    </row>
    <row r="112" spans="1:7" ht="15.75">
      <c r="A112" s="480">
        <f>IF(Ablauf!C36="","",Ablauf!A36)</f>
        <v>17</v>
      </c>
      <c r="B112" s="481" t="str">
        <f>IF(Ablauf!C36="","",Ablauf!C36)</f>
        <v>Versand Vorbereitung</v>
      </c>
      <c r="C112" s="482" t="str">
        <f>IF(Ablauf!X36="",""," | "&amp;Ablauf!X36&amp;" m")&amp;
IF(Ablauf!Y36="",""," | "&amp;Ablauf!Y36)&amp;
IF(Ablauf!Z36="",""," - "&amp;Ablauf!Z36&amp;" kg")&amp;
IF(Ablauf!AA36="",""," | "&amp;Ablauf!AA36)&amp;
IF(Ablauf!AB36="",""," - "&amp;Ablauf!AB36&amp;" kg")&amp;
IF(Ablauf!AC36="",""," | "&amp;Ablauf!AC36&amp;" kg")&amp;
IF(Ablauf!D36="",""," | "&amp;Ablauf!D36)</f>
        <v xml:space="preserve"> | 4,52 kg</v>
      </c>
      <c r="D112" s="483" t="str">
        <f t="shared" si="0"/>
        <v/>
      </c>
      <c r="E112" s="483" t="str">
        <f>IF(Ablauf!C36="","",Ablauf!W36)</f>
        <v>VE-000 Versand</v>
      </c>
    </row>
    <row r="113" spans="1:5" ht="15.75">
      <c r="A113" s="480" t="str">
        <f>IF(Ablauf!C37="","",Ablauf!A37)</f>
        <v/>
      </c>
      <c r="B113" s="481" t="str">
        <f>IF(Ablauf!C37="","",Ablauf!C37)</f>
        <v/>
      </c>
      <c r="C113" s="482" t="str">
        <f>IF(Ablauf!X37="",""," | "&amp;Ablauf!X37&amp;" m")&amp;
IF(Ablauf!Y37="",""," | "&amp;Ablauf!Y37)&amp;
IF(Ablauf!Z37="",""," - "&amp;Ablauf!Z37&amp;" kg")&amp;
IF(Ablauf!AA37="",""," | "&amp;Ablauf!AA37)&amp;
IF(Ablauf!AB37="",""," - "&amp;Ablauf!AB37&amp;" kg")&amp;
IF(Ablauf!AC37="",""," | "&amp;Ablauf!AC37&amp;" kg")&amp;
IF(Ablauf!D37="",""," | "&amp;Ablauf!D37)</f>
        <v/>
      </c>
      <c r="D113" s="483" t="str">
        <f t="shared" si="0"/>
        <v/>
      </c>
      <c r="E113" s="483" t="str">
        <f>IF(Ablauf!C37="","",Ablauf!W37)</f>
        <v/>
      </c>
    </row>
    <row r="114" spans="1:5" ht="15.75">
      <c r="A114" s="480" t="str">
        <f>IF(Ablauf!C38="","",Ablauf!A38)</f>
        <v/>
      </c>
      <c r="B114" s="481" t="str">
        <f>IF(Ablauf!C38="","",Ablauf!C38)</f>
        <v/>
      </c>
      <c r="C114" s="482" t="str">
        <f>IF(Ablauf!X38="",""," | "&amp;Ablauf!X38&amp;" m")&amp;
IF(Ablauf!Y38="",""," | "&amp;Ablauf!Y38)&amp;
IF(Ablauf!Z38="",""," - "&amp;Ablauf!Z38&amp;" kg")&amp;
IF(Ablauf!AA38="",""," | "&amp;Ablauf!AA38)&amp;
IF(Ablauf!AB38="",""," - "&amp;Ablauf!AB38&amp;" kg")&amp;
IF(Ablauf!AC38="",""," | "&amp;Ablauf!AC38&amp;" kg")&amp;
IF(Ablauf!D38="",""," | "&amp;Ablauf!D38)</f>
        <v/>
      </c>
      <c r="D114" s="483" t="str">
        <f t="shared" si="0"/>
        <v/>
      </c>
      <c r="E114" s="483" t="str">
        <f>IF(Ablauf!C38="","",Ablauf!W38)</f>
        <v/>
      </c>
    </row>
    <row r="115" spans="1:5" ht="15.75">
      <c r="A115" s="480" t="str">
        <f>IF(Ablauf!C39="","",Ablauf!A39)</f>
        <v/>
      </c>
      <c r="B115" s="481" t="str">
        <f>IF(Ablauf!C39="","",Ablauf!C39)</f>
        <v/>
      </c>
      <c r="C115" s="482" t="str">
        <f>IF(Ablauf!X39="",""," | "&amp;Ablauf!X39&amp;" m")&amp;
IF(Ablauf!Y39="",""," | "&amp;Ablauf!Y39)&amp;
IF(Ablauf!Z39="",""," - "&amp;Ablauf!Z39&amp;" kg")&amp;
IF(Ablauf!AA39="",""," | "&amp;Ablauf!AA39)&amp;
IF(Ablauf!AB39="",""," - "&amp;Ablauf!AB39&amp;" kg")&amp;
IF(Ablauf!AC39="",""," | "&amp;Ablauf!AC39&amp;" kg")&amp;
IF(Ablauf!D39="",""," | "&amp;Ablauf!D39)</f>
        <v/>
      </c>
      <c r="D115" s="483" t="str">
        <f t="shared" si="0"/>
        <v/>
      </c>
      <c r="E115" s="483" t="str">
        <f>IF(Ablauf!C39="","",Ablauf!W39)</f>
        <v/>
      </c>
    </row>
    <row r="116" spans="1:5" ht="15.75">
      <c r="A116" s="480" t="str">
        <f>IF(Ablauf!C40="","",Ablauf!A40)</f>
        <v/>
      </c>
      <c r="B116" s="481" t="str">
        <f>IF(Ablauf!C40="","",Ablauf!C40)</f>
        <v/>
      </c>
      <c r="C116" s="482" t="str">
        <f>IF(Ablauf!X40="",""," | "&amp;Ablauf!X40&amp;" m")&amp;
IF(Ablauf!Y40="",""," | "&amp;Ablauf!Y40)&amp;
IF(Ablauf!Z40="",""," - "&amp;Ablauf!Z40&amp;" kg")&amp;
IF(Ablauf!AA40="",""," | "&amp;Ablauf!AA40)&amp;
IF(Ablauf!AB40="",""," - "&amp;Ablauf!AB40&amp;" kg")&amp;
IF(Ablauf!AC40="",""," | "&amp;Ablauf!AC40&amp;" kg")&amp;
IF(Ablauf!D40="",""," | "&amp;Ablauf!D40)</f>
        <v/>
      </c>
      <c r="D116" s="483" t="str">
        <f t="shared" si="0"/>
        <v/>
      </c>
      <c r="E116" s="483" t="str">
        <f>IF(Ablauf!C40="","",Ablauf!W40)</f>
        <v/>
      </c>
    </row>
    <row r="117" spans="1:5" ht="15.75">
      <c r="A117" s="480" t="str">
        <f>IF(Ablauf!C41="","",Ablauf!A41)</f>
        <v/>
      </c>
      <c r="B117" s="481" t="str">
        <f>IF(Ablauf!C41="","",Ablauf!C41)</f>
        <v/>
      </c>
      <c r="C117" s="482" t="str">
        <f>IF(Ablauf!X41="",""," | "&amp;Ablauf!X41&amp;" m")&amp;
IF(Ablauf!Y41="",""," | "&amp;Ablauf!Y41)&amp;
IF(Ablauf!Z41="",""," - "&amp;Ablauf!Z41&amp;" kg")&amp;
IF(Ablauf!AA41="",""," | "&amp;Ablauf!AA41)&amp;
IF(Ablauf!AB41="",""," - "&amp;Ablauf!AB41&amp;" kg")&amp;
IF(Ablauf!AC41="",""," | "&amp;Ablauf!AC41&amp;" kg")&amp;
IF(Ablauf!D41="",""," | "&amp;Ablauf!D41)</f>
        <v/>
      </c>
      <c r="D117" s="483" t="str">
        <f t="shared" si="0"/>
        <v/>
      </c>
      <c r="E117" s="483" t="str">
        <f>IF(Ablauf!C41="","",Ablauf!W41)</f>
        <v/>
      </c>
    </row>
    <row r="118" spans="1:5" ht="15.75">
      <c r="A118" s="480" t="str">
        <f>IF(Ablauf!C42="","",Ablauf!A42)</f>
        <v/>
      </c>
      <c r="B118" s="481" t="str">
        <f>IF(Ablauf!C42="","",Ablauf!C42)</f>
        <v/>
      </c>
      <c r="C118" s="482" t="str">
        <f>IF(Ablauf!X42="",""," | "&amp;Ablauf!X42&amp;" m")&amp;
IF(Ablauf!Y42="",""," | "&amp;Ablauf!Y42)&amp;
IF(Ablauf!Z42="",""," - "&amp;Ablauf!Z42&amp;" kg")&amp;
IF(Ablauf!AA42="",""," | "&amp;Ablauf!AA42)&amp;
IF(Ablauf!AB42="",""," - "&amp;Ablauf!AB42&amp;" kg")&amp;
IF(Ablauf!AC42="",""," | "&amp;Ablauf!AC42&amp;" kg")&amp;
IF(Ablauf!D42="",""," | "&amp;Ablauf!D42)</f>
        <v/>
      </c>
      <c r="D118" s="483" t="str">
        <f t="shared" si="0"/>
        <v/>
      </c>
      <c r="E118" s="483" t="str">
        <f>IF(Ablauf!C42="","",Ablauf!W42)</f>
        <v/>
      </c>
    </row>
    <row r="119" spans="1:5" ht="15.75">
      <c r="A119" s="480" t="str">
        <f>IF(Ablauf!C43="","",Ablauf!A43)</f>
        <v/>
      </c>
      <c r="B119" s="481" t="str">
        <f>IF(Ablauf!C43="","",Ablauf!C43)</f>
        <v/>
      </c>
      <c r="C119" s="482" t="str">
        <f>IF(Ablauf!X43="",""," | "&amp;Ablauf!X43&amp;" m")&amp;
IF(Ablauf!Y43="",""," | "&amp;Ablauf!Y43)&amp;
IF(Ablauf!Z43="",""," - "&amp;Ablauf!Z43&amp;" kg")&amp;
IF(Ablauf!AA43="",""," | "&amp;Ablauf!AA43)&amp;
IF(Ablauf!AB43="",""," - "&amp;Ablauf!AB43&amp;" kg")&amp;
IF(Ablauf!AC43="",""," | "&amp;Ablauf!AC43&amp;" kg")&amp;
IF(Ablauf!D43="",""," | "&amp;Ablauf!D43)</f>
        <v/>
      </c>
      <c r="D119" s="483" t="str">
        <f t="shared" si="0"/>
        <v/>
      </c>
      <c r="E119" s="483" t="str">
        <f>IF(Ablauf!C43="","",Ablauf!W43)</f>
        <v/>
      </c>
    </row>
    <row r="120" spans="1:5" ht="15.75">
      <c r="A120" s="480" t="str">
        <f>IF(Ablauf!C44="","",Ablauf!A44)</f>
        <v/>
      </c>
      <c r="B120" s="481" t="str">
        <f>IF(Ablauf!C44="","",Ablauf!C44)</f>
        <v/>
      </c>
      <c r="C120" s="482" t="str">
        <f>IF(Ablauf!X44="",""," | "&amp;Ablauf!X44&amp;" m")&amp;
IF(Ablauf!Y44="",""," | "&amp;Ablauf!Y44)&amp;
IF(Ablauf!Z44="",""," - "&amp;Ablauf!Z44&amp;" kg")&amp;
IF(Ablauf!AA44="",""," | "&amp;Ablauf!AA44)&amp;
IF(Ablauf!AB44="",""," - "&amp;Ablauf!AB44&amp;" kg")&amp;
IF(Ablauf!AC44="",""," | "&amp;Ablauf!AC44&amp;" kg")&amp;
IF(Ablauf!D44="",""," | "&amp;Ablauf!D44)</f>
        <v/>
      </c>
      <c r="D120" s="483" t="str">
        <f t="shared" si="0"/>
        <v/>
      </c>
      <c r="E120" s="483" t="str">
        <f>IF(Ablauf!C44="","",Ablauf!W44)</f>
        <v/>
      </c>
    </row>
    <row r="121" spans="1:5" ht="15.75">
      <c r="A121" s="480" t="str">
        <f>IF(Ablauf!C45="","",Ablauf!A45)</f>
        <v/>
      </c>
      <c r="B121" s="481" t="str">
        <f>IF(Ablauf!C45="","",Ablauf!C45)</f>
        <v/>
      </c>
      <c r="C121" s="482" t="str">
        <f>IF(Ablauf!X45="",""," | "&amp;Ablauf!X45&amp;" m")&amp;
IF(Ablauf!Y45="",""," | "&amp;Ablauf!Y45)&amp;
IF(Ablauf!Z45="",""," - "&amp;Ablauf!Z45&amp;" kg")&amp;
IF(Ablauf!AA45="",""," | "&amp;Ablauf!AA45)&amp;
IF(Ablauf!AB45="",""," - "&amp;Ablauf!AB45&amp;" kg")&amp;
IF(Ablauf!AC45="",""," | "&amp;Ablauf!AC45&amp;" kg")&amp;
IF(Ablauf!D45="",""," | "&amp;Ablauf!D45)</f>
        <v/>
      </c>
      <c r="D121" s="483" t="str">
        <f t="shared" si="0"/>
        <v/>
      </c>
      <c r="E121" s="483" t="str">
        <f>IF(Ablauf!C45="","",Ablauf!W45)</f>
        <v/>
      </c>
    </row>
    <row r="122" spans="1:5" ht="15.75">
      <c r="A122" s="480" t="str">
        <f>IF(Ablauf!C46="","",Ablauf!A46)</f>
        <v/>
      </c>
      <c r="B122" s="481" t="str">
        <f>IF(Ablauf!C46="","",Ablauf!C46)</f>
        <v/>
      </c>
      <c r="C122" s="482" t="str">
        <f>IF(Ablauf!X46="",""," | "&amp;Ablauf!X46&amp;" m")&amp;
IF(Ablauf!Y46="",""," | "&amp;Ablauf!Y46)&amp;
IF(Ablauf!Z46="",""," - "&amp;Ablauf!Z46&amp;" kg")&amp;
IF(Ablauf!AA46="",""," | "&amp;Ablauf!AA46)&amp;
IF(Ablauf!AB46="",""," - "&amp;Ablauf!AB46&amp;" kg")&amp;
IF(Ablauf!AC46="",""," | "&amp;Ablauf!AC46&amp;" kg")&amp;
IF(Ablauf!D46="",""," | "&amp;Ablauf!D46)</f>
        <v/>
      </c>
      <c r="D122" s="483" t="str">
        <f t="shared" si="0"/>
        <v/>
      </c>
      <c r="E122" s="483" t="str">
        <f>IF(Ablauf!C46="","",Ablauf!W46)</f>
        <v/>
      </c>
    </row>
    <row r="123" spans="1:5" ht="15.75">
      <c r="A123" s="480" t="str">
        <f>IF(Ablauf!C47="","",Ablauf!A47)</f>
        <v/>
      </c>
      <c r="B123" s="481" t="str">
        <f>IF(Ablauf!C47="","",Ablauf!C47)</f>
        <v/>
      </c>
      <c r="C123" s="482" t="str">
        <f>IF(Ablauf!X47="",""," | "&amp;Ablauf!X47&amp;" m")&amp;
IF(Ablauf!Y47="",""," | "&amp;Ablauf!Y47)&amp;
IF(Ablauf!Z47="",""," - "&amp;Ablauf!Z47&amp;" kg")&amp;
IF(Ablauf!AA47="",""," | "&amp;Ablauf!AA47)&amp;
IF(Ablauf!AB47="",""," - "&amp;Ablauf!AB47&amp;" kg")&amp;
IF(Ablauf!AC47="",""," | "&amp;Ablauf!AC47&amp;" kg")&amp;
IF(Ablauf!D47="",""," | "&amp;Ablauf!D47)</f>
        <v/>
      </c>
      <c r="D123" s="483" t="str">
        <f t="shared" si="0"/>
        <v/>
      </c>
      <c r="E123" s="483" t="str">
        <f>IF(Ablauf!C47="","",Ablauf!W47)</f>
        <v/>
      </c>
    </row>
    <row r="124" spans="1:5" ht="15.75">
      <c r="A124" s="480" t="str">
        <f>IF(Ablauf!C48="","",Ablauf!A48)</f>
        <v/>
      </c>
      <c r="B124" s="481" t="str">
        <f>IF(Ablauf!C48="","",Ablauf!C48)</f>
        <v/>
      </c>
      <c r="C124" s="482" t="str">
        <f>IF(Ablauf!X48="",""," | "&amp;Ablauf!X48&amp;" m")&amp;
IF(Ablauf!Y48="",""," | "&amp;Ablauf!Y48)&amp;
IF(Ablauf!Z48="",""," - "&amp;Ablauf!Z48&amp;" kg")&amp;
IF(Ablauf!AA48="",""," | "&amp;Ablauf!AA48)&amp;
IF(Ablauf!AB48="",""," - "&amp;Ablauf!AB48&amp;" kg")&amp;
IF(Ablauf!AC48="",""," | "&amp;Ablauf!AC48&amp;" kg")&amp;
IF(Ablauf!D48="",""," | "&amp;Ablauf!D48)</f>
        <v/>
      </c>
      <c r="D124" s="483" t="str">
        <f t="shared" si="0"/>
        <v/>
      </c>
      <c r="E124" s="483" t="str">
        <f>IF(Ablauf!C48="","",Ablauf!W48)</f>
        <v/>
      </c>
    </row>
    <row r="125" spans="1:5" ht="15.75">
      <c r="A125" s="480" t="str">
        <f>IF(Ablauf!C49="","",Ablauf!A49)</f>
        <v/>
      </c>
      <c r="B125" s="481" t="str">
        <f>IF(Ablauf!C49="","",Ablauf!C49)</f>
        <v/>
      </c>
      <c r="C125" s="482" t="str">
        <f>IF(Ablauf!X49="",""," | "&amp;Ablauf!X49&amp;" m")&amp;
IF(Ablauf!Y49="",""," | "&amp;Ablauf!Y49)&amp;
IF(Ablauf!Z49="",""," - "&amp;Ablauf!Z49&amp;" kg")&amp;
IF(Ablauf!AA49="",""," | "&amp;Ablauf!AA49)&amp;
IF(Ablauf!AB49="",""," - "&amp;Ablauf!AB49&amp;" kg")&amp;
IF(Ablauf!AC49="",""," | "&amp;Ablauf!AC49&amp;" kg")&amp;
IF(Ablauf!D49="",""," | "&amp;Ablauf!D49)</f>
        <v/>
      </c>
      <c r="D125" s="483" t="str">
        <f t="shared" si="0"/>
        <v/>
      </c>
      <c r="E125" s="483" t="str">
        <f>IF(Ablauf!C49="","",Ablauf!W49)</f>
        <v/>
      </c>
    </row>
    <row r="126" spans="1:5" ht="15.75">
      <c r="A126" s="480" t="str">
        <f>IF(Ablauf!C50="","",Ablauf!A50)</f>
        <v/>
      </c>
      <c r="B126" s="481" t="str">
        <f>IF(Ablauf!C50="","",Ablauf!C50)</f>
        <v/>
      </c>
      <c r="C126" s="482" t="str">
        <f>IF(Ablauf!X50="",""," | "&amp;Ablauf!X50&amp;" m")&amp;
IF(Ablauf!Y50="",""," | "&amp;Ablauf!Y50)&amp;
IF(Ablauf!Z50="",""," - "&amp;Ablauf!Z50&amp;" kg")&amp;
IF(Ablauf!AA50="",""," | "&amp;Ablauf!AA50)&amp;
IF(Ablauf!AB50="",""," - "&amp;Ablauf!AB50&amp;" kg")&amp;
IF(Ablauf!AC50="",""," | "&amp;Ablauf!AC50&amp;" kg")&amp;
IF(Ablauf!D50="",""," | "&amp;Ablauf!D50)</f>
        <v/>
      </c>
      <c r="D126" s="483" t="str">
        <f t="shared" si="0"/>
        <v/>
      </c>
      <c r="E126" s="483" t="str">
        <f>IF(Ablauf!C50="","",Ablauf!W50)</f>
        <v/>
      </c>
    </row>
    <row r="127" spans="1:5" ht="15.75">
      <c r="A127" s="480" t="str">
        <f>IF(Ablauf!C51="","",Ablauf!A51)</f>
        <v/>
      </c>
      <c r="B127" s="481" t="str">
        <f>IF(Ablauf!C51="","",Ablauf!C51)</f>
        <v/>
      </c>
      <c r="C127" s="482" t="str">
        <f>IF(Ablauf!X51="",""," | "&amp;Ablauf!X51&amp;" m")&amp;
IF(Ablauf!Y51="",""," | "&amp;Ablauf!Y51)&amp;
IF(Ablauf!Z51="",""," - "&amp;Ablauf!Z51&amp;" kg")&amp;
IF(Ablauf!AA51="",""," | "&amp;Ablauf!AA51)&amp;
IF(Ablauf!AB51="",""," - "&amp;Ablauf!AB51&amp;" kg")&amp;
IF(Ablauf!AC51="",""," | "&amp;Ablauf!AC51&amp;" kg")&amp;
IF(Ablauf!D51="",""," | "&amp;Ablauf!D51)</f>
        <v/>
      </c>
      <c r="D127" s="483" t="str">
        <f t="shared" si="0"/>
        <v/>
      </c>
      <c r="E127" s="483" t="str">
        <f>IF(Ablauf!C51="","",Ablauf!W51)</f>
        <v/>
      </c>
    </row>
    <row r="128" spans="1:5" ht="15.75">
      <c r="A128" s="480" t="str">
        <f>IF(Ablauf!C52="","",Ablauf!A52)</f>
        <v/>
      </c>
      <c r="B128" s="481" t="str">
        <f>IF(Ablauf!C52="","",Ablauf!C52)</f>
        <v/>
      </c>
      <c r="C128" s="482" t="str">
        <f>IF(Ablauf!X52="",""," | "&amp;Ablauf!X52&amp;" m")&amp;
IF(Ablauf!Y52="",""," | "&amp;Ablauf!Y52)&amp;
IF(Ablauf!Z52="",""," - "&amp;Ablauf!Z52&amp;" kg")&amp;
IF(Ablauf!AA52="",""," | "&amp;Ablauf!AA52)&amp;
IF(Ablauf!AB52="",""," - "&amp;Ablauf!AB52&amp;" kg")&amp;
IF(Ablauf!AC52="",""," | "&amp;Ablauf!AC52&amp;" kg")&amp;
IF(Ablauf!D52="",""," | "&amp;Ablauf!D52)</f>
        <v/>
      </c>
      <c r="D128" s="483" t="str">
        <f t="shared" si="0"/>
        <v/>
      </c>
      <c r="E128" s="483" t="str">
        <f>IF(Ablauf!C52="","",Ablauf!W52)</f>
        <v/>
      </c>
    </row>
    <row r="129" spans="1:5" ht="15.75">
      <c r="A129" s="480" t="str">
        <f>IF(Ablauf!C53="","",Ablauf!A53)</f>
        <v/>
      </c>
      <c r="B129" s="481" t="str">
        <f>IF(Ablauf!C53="","",Ablauf!C53)</f>
        <v/>
      </c>
      <c r="C129" s="482" t="str">
        <f>IF(Ablauf!X53="",""," | "&amp;Ablauf!X53&amp;" m")&amp;
IF(Ablauf!Y53="",""," | "&amp;Ablauf!Y53)&amp;
IF(Ablauf!Z53="",""," - "&amp;Ablauf!Z53&amp;" kg")&amp;
IF(Ablauf!AA53="",""," | "&amp;Ablauf!AA53)&amp;
IF(Ablauf!AB53="",""," - "&amp;Ablauf!AB53&amp;" kg")&amp;
IF(Ablauf!AC53="",""," | "&amp;Ablauf!AC53&amp;" kg")&amp;
IF(Ablauf!D53="",""," | "&amp;Ablauf!D53)</f>
        <v/>
      </c>
      <c r="D129" s="483" t="str">
        <f t="shared" si="0"/>
        <v/>
      </c>
      <c r="E129" s="483" t="str">
        <f>IF(Ablauf!C53="","",Ablauf!W53)</f>
        <v/>
      </c>
    </row>
    <row r="130" spans="1:5" ht="15.75">
      <c r="A130" s="480" t="str">
        <f>IF(Ablauf!C54="","",Ablauf!A54)</f>
        <v/>
      </c>
      <c r="B130" s="481" t="str">
        <f>IF(Ablauf!C54="","",Ablauf!C54)</f>
        <v/>
      </c>
      <c r="C130" s="482" t="str">
        <f>IF(Ablauf!X54="",""," | "&amp;Ablauf!X54&amp;" m")&amp;
IF(Ablauf!Y54="",""," | "&amp;Ablauf!Y54)&amp;
IF(Ablauf!Z54="",""," - "&amp;Ablauf!Z54&amp;" kg")&amp;
IF(Ablauf!AA54="",""," | "&amp;Ablauf!AA54)&amp;
IF(Ablauf!AB54="",""," - "&amp;Ablauf!AB54&amp;" kg")&amp;
IF(Ablauf!AC54="",""," | "&amp;Ablauf!AC54&amp;" kg")&amp;
IF(Ablauf!D54="",""," | "&amp;Ablauf!D54)</f>
        <v/>
      </c>
      <c r="D130" s="483" t="str">
        <f t="shared" si="0"/>
        <v/>
      </c>
      <c r="E130" s="483" t="str">
        <f>IF(Ablauf!C54="","",Ablauf!W54)</f>
        <v/>
      </c>
    </row>
    <row r="131" spans="1:5" ht="15.75">
      <c r="A131" s="480" t="str">
        <f>IF(Ablauf!C55="","",Ablauf!A55)</f>
        <v/>
      </c>
      <c r="B131" s="481" t="str">
        <f>IF(Ablauf!C55="","",Ablauf!C55)</f>
        <v/>
      </c>
      <c r="C131" s="482" t="str">
        <f>IF(Ablauf!X55="",""," | "&amp;Ablauf!X55&amp;" m")&amp;
IF(Ablauf!Y55="",""," | "&amp;Ablauf!Y55)&amp;
IF(Ablauf!Z55="",""," - "&amp;Ablauf!Z55&amp;" kg")&amp;
IF(Ablauf!AA55="",""," | "&amp;Ablauf!AA55)&amp;
IF(Ablauf!AB55="",""," - "&amp;Ablauf!AB55&amp;" kg")&amp;
IF(Ablauf!AC55="",""," | "&amp;Ablauf!AC55&amp;" kg")&amp;
IF(Ablauf!D55="",""," | "&amp;Ablauf!D55)</f>
        <v/>
      </c>
      <c r="D131" s="483" t="str">
        <f t="shared" si="0"/>
        <v/>
      </c>
      <c r="E131" s="483" t="str">
        <f>IF(Ablauf!C55="","",Ablauf!W55)</f>
        <v/>
      </c>
    </row>
    <row r="132" spans="1:5" ht="15.75">
      <c r="A132" s="480" t="str">
        <f>IF(Ablauf!C56="","",Ablauf!A56)</f>
        <v/>
      </c>
      <c r="B132" s="481" t="str">
        <f>IF(Ablauf!C56="","",Ablauf!C56)</f>
        <v/>
      </c>
      <c r="C132" s="482" t="str">
        <f>IF(Ablauf!X56="",""," | "&amp;Ablauf!X56&amp;" m")&amp;
IF(Ablauf!Y56="",""," | "&amp;Ablauf!Y56)&amp;
IF(Ablauf!Z56="",""," - "&amp;Ablauf!Z56&amp;" kg")&amp;
IF(Ablauf!AA56="",""," | "&amp;Ablauf!AA56)&amp;
IF(Ablauf!AB56="",""," - "&amp;Ablauf!AB56&amp;" kg")&amp;
IF(Ablauf!AC56="",""," | "&amp;Ablauf!AC56&amp;" kg")&amp;
IF(Ablauf!D56="",""," | "&amp;Ablauf!D56)</f>
        <v/>
      </c>
      <c r="D132" s="483" t="str">
        <f t="shared" si="0"/>
        <v/>
      </c>
      <c r="E132" s="483" t="str">
        <f>IF(Ablauf!C56="","",Ablauf!W56)</f>
        <v/>
      </c>
    </row>
    <row r="133" spans="1:5" ht="15.75">
      <c r="A133" s="480" t="str">
        <f>IF(Ablauf!C57="","",Ablauf!A57)</f>
        <v/>
      </c>
      <c r="B133" s="481" t="str">
        <f>IF(Ablauf!C57="","",Ablauf!C57)</f>
        <v/>
      </c>
      <c r="C133" s="482" t="str">
        <f>IF(Ablauf!X57="",""," | "&amp;Ablauf!X57&amp;" m")&amp;
IF(Ablauf!Y57="",""," | "&amp;Ablauf!Y57)&amp;
IF(Ablauf!Z57="",""," - "&amp;Ablauf!Z57&amp;" kg")&amp;
IF(Ablauf!AA57="",""," | "&amp;Ablauf!AA57)&amp;
IF(Ablauf!AB57="",""," - "&amp;Ablauf!AB57&amp;" kg")&amp;
IF(Ablauf!AC57="",""," | "&amp;Ablauf!AC57&amp;" kg")&amp;
IF(Ablauf!D57="",""," | "&amp;Ablauf!D57)</f>
        <v/>
      </c>
      <c r="D133" s="483" t="str">
        <f t="shared" si="0"/>
        <v/>
      </c>
      <c r="E133" s="483" t="str">
        <f>IF(Ablauf!C57="","",Ablauf!W57)</f>
        <v/>
      </c>
    </row>
    <row r="134" spans="1:5" ht="15.75">
      <c r="A134" s="480" t="str">
        <f>IF(Ablauf!C58="","",Ablauf!A58)</f>
        <v/>
      </c>
      <c r="B134" s="481" t="str">
        <f>IF(Ablauf!C58="","",Ablauf!C58)</f>
        <v/>
      </c>
      <c r="C134" s="482" t="str">
        <f>IF(Ablauf!X58="",""," | "&amp;Ablauf!X58&amp;" m")&amp;
IF(Ablauf!Y58="",""," | "&amp;Ablauf!Y58)&amp;
IF(Ablauf!Z58="",""," - "&amp;Ablauf!Z58&amp;" kg")&amp;
IF(Ablauf!AA58="",""," | "&amp;Ablauf!AA58)&amp;
IF(Ablauf!AB58="",""," - "&amp;Ablauf!AB58&amp;" kg")&amp;
IF(Ablauf!AC58="",""," | "&amp;Ablauf!AC58&amp;" kg")&amp;
IF(Ablauf!D58="",""," | "&amp;Ablauf!D58)</f>
        <v/>
      </c>
      <c r="D134" s="483" t="str">
        <f t="shared" si="0"/>
        <v/>
      </c>
      <c r="E134" s="483" t="str">
        <f>IF(Ablauf!C58="","",Ablauf!W58)</f>
        <v/>
      </c>
    </row>
  </sheetData>
  <mergeCells count="35">
    <mergeCell ref="A45:C46"/>
    <mergeCell ref="A42:B42"/>
    <mergeCell ref="A43:B43"/>
    <mergeCell ref="A26:C26"/>
    <mergeCell ref="C95:D95"/>
    <mergeCell ref="A94:D94"/>
    <mergeCell ref="C54:D54"/>
    <mergeCell ref="D46:E46"/>
    <mergeCell ref="D45:E45"/>
    <mergeCell ref="A15:B15"/>
    <mergeCell ref="A12:B12"/>
    <mergeCell ref="A13:B13"/>
    <mergeCell ref="A14:B14"/>
    <mergeCell ref="A30:E30"/>
    <mergeCell ref="A24:C24"/>
    <mergeCell ref="A25:C25"/>
    <mergeCell ref="A18:C18"/>
    <mergeCell ref="A19:C19"/>
    <mergeCell ref="A20:C20"/>
    <mergeCell ref="A21:C21"/>
    <mergeCell ref="A23:C23"/>
    <mergeCell ref="A10:B10"/>
    <mergeCell ref="C14:E14"/>
    <mergeCell ref="C13:E13"/>
    <mergeCell ref="C12:E12"/>
    <mergeCell ref="A9:B9"/>
    <mergeCell ref="A11:B11"/>
    <mergeCell ref="E1:E2"/>
    <mergeCell ref="C4:E4"/>
    <mergeCell ref="D9:E9"/>
    <mergeCell ref="A3:B3"/>
    <mergeCell ref="A4:B4"/>
    <mergeCell ref="A5:B6"/>
    <mergeCell ref="A7:B7"/>
    <mergeCell ref="A8:B8"/>
  </mergeCells>
  <phoneticPr fontId="1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orientation="portrait" r:id="rId1"/>
  <headerFooter>
    <oddHeader>&amp;L&amp;D  &amp;" ,Standard"&amp;T</oddHeader>
    <oddFooter>&amp;A&amp;RSeite &amp;P</oddFooter>
  </headerFooter>
  <rowBreaks count="2" manualBreakCount="2">
    <brk id="44" max="4" man="1"/>
    <brk id="93" max="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theme="6" tint="0.39997558519241921"/>
  </sheetPr>
  <dimension ref="A1:AH110"/>
  <sheetViews>
    <sheetView view="pageBreakPreview" zoomScaleNormal="100" zoomScaleSheetLayoutView="100" workbookViewId="0">
      <selection activeCell="O26" sqref="O26:T26"/>
    </sheetView>
  </sheetViews>
  <sheetFormatPr baseColWidth="10" defaultRowHeight="12.75"/>
  <cols>
    <col min="1" max="4" width="5.85546875" customWidth="1"/>
    <col min="5" max="5" width="5.85546875" style="28" customWidth="1"/>
    <col min="6" max="6" width="5.85546875" style="1" customWidth="1"/>
    <col min="7" max="32" width="5.85546875" customWidth="1"/>
    <col min="33" max="34" width="11.42578125" hidden="1" customWidth="1"/>
    <col min="35" max="36" width="11.42578125" customWidth="1"/>
  </cols>
  <sheetData>
    <row r="1" spans="1:34" s="1" customFormat="1" ht="25.5" customHeight="1">
      <c r="A1" s="747" t="str">
        <f>"FP "&amp;FA!C9&amp;"-"&amp;RIGHT(AH5,3)</f>
        <v>FP 215007SADI1-001</v>
      </c>
      <c r="B1" s="747"/>
      <c r="C1" s="747"/>
      <c r="D1" s="747"/>
      <c r="E1" s="747"/>
      <c r="F1" s="747"/>
      <c r="G1" s="747"/>
      <c r="H1" s="747"/>
      <c r="I1" s="745" t="str">
        <f>A5</f>
        <v>BTN Kunde</v>
      </c>
      <c r="J1" s="745"/>
      <c r="K1" s="740" t="str">
        <f>code128(C5)</f>
        <v/>
      </c>
      <c r="L1" s="740"/>
      <c r="M1" s="740"/>
      <c r="N1" s="740"/>
      <c r="O1" s="740"/>
      <c r="P1" s="740"/>
      <c r="Q1" s="740"/>
      <c r="R1" s="740"/>
      <c r="S1" s="740"/>
      <c r="T1" s="740"/>
      <c r="U1" s="746" t="s">
        <v>343</v>
      </c>
      <c r="V1" s="745"/>
      <c r="W1" s="740" t="str">
        <f>code128(FA!C9&amp;"-"&amp;RIGHT(AH5,3))</f>
        <v>Ò5R'ÍSADI1-001pÓ</v>
      </c>
      <c r="X1" s="740"/>
      <c r="Y1" s="740"/>
      <c r="Z1" s="740"/>
      <c r="AA1" s="740"/>
      <c r="AB1" s="740"/>
      <c r="AC1" s="740"/>
      <c r="AD1" s="740"/>
      <c r="AE1" s="740"/>
      <c r="AF1" s="740"/>
    </row>
    <row r="2" spans="1:34" s="1" customFormat="1" ht="22.5" customHeight="1">
      <c r="A2" s="747"/>
      <c r="B2" s="747"/>
      <c r="C2" s="747"/>
      <c r="D2" s="747"/>
      <c r="E2" s="747"/>
      <c r="F2" s="747"/>
      <c r="G2" s="747"/>
      <c r="H2" s="747"/>
      <c r="I2" s="745"/>
      <c r="J2" s="745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5"/>
      <c r="V2" s="745"/>
      <c r="W2" s="740"/>
      <c r="X2" s="740"/>
      <c r="Y2" s="740"/>
      <c r="Z2" s="740"/>
      <c r="AA2" s="740"/>
      <c r="AB2" s="740"/>
      <c r="AC2" s="740"/>
      <c r="AD2" s="740"/>
      <c r="AE2" s="740"/>
      <c r="AF2" s="740"/>
    </row>
    <row r="3" spans="1:34" s="105" customFormat="1" ht="10.5" customHeight="1"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05" t="s">
        <v>286</v>
      </c>
      <c r="AH3" s="105">
        <f>1001</f>
        <v>1001</v>
      </c>
    </row>
    <row r="4" spans="1:34" s="105" customFormat="1" ht="22.5" customHeight="1">
      <c r="A4" s="748" t="s">
        <v>288</v>
      </c>
      <c r="B4" s="748"/>
      <c r="C4" s="750" t="str">
        <f>Ablauf!G9</f>
        <v>Div. Luftleitschilde</v>
      </c>
      <c r="D4" s="750"/>
      <c r="E4" s="750"/>
      <c r="F4" s="750"/>
      <c r="H4" s="748" t="s">
        <v>324</v>
      </c>
      <c r="I4" s="748"/>
      <c r="J4" s="754">
        <f>Ablauf!G11</f>
        <v>0</v>
      </c>
      <c r="K4" s="754"/>
      <c r="L4" s="754"/>
      <c r="M4" s="754"/>
      <c r="N4" s="754"/>
      <c r="P4" s="748" t="s">
        <v>100</v>
      </c>
      <c r="Q4" s="748"/>
      <c r="R4" s="748"/>
      <c r="S4" s="750">
        <f>FA!C8</f>
        <v>42012</v>
      </c>
      <c r="T4" s="750"/>
      <c r="U4" s="750"/>
      <c r="AG4" s="105" t="s">
        <v>250</v>
      </c>
      <c r="AH4" s="105">
        <f>1000+Menge</f>
        <v>1001</v>
      </c>
    </row>
    <row r="5" spans="1:34" s="105" customFormat="1" ht="22.5" customHeight="1">
      <c r="A5" s="749" t="s">
        <v>287</v>
      </c>
      <c r="B5" s="749"/>
      <c r="C5" s="750" t="str">
        <f>IF(Ablauf!G10="","",Ablauf!G10)</f>
        <v/>
      </c>
      <c r="D5" s="750"/>
      <c r="E5" s="750"/>
      <c r="F5" s="750"/>
      <c r="H5" s="749" t="s">
        <v>332</v>
      </c>
      <c r="I5" s="749"/>
      <c r="J5" s="754" t="str">
        <f>Ablauf!D11 &amp;" / "&amp;Ablauf!G7</f>
        <v>1 / 1</v>
      </c>
      <c r="K5" s="754"/>
      <c r="L5" s="754"/>
      <c r="M5" s="754"/>
      <c r="N5" s="754"/>
      <c r="P5" s="749" t="s">
        <v>81</v>
      </c>
      <c r="Q5" s="749"/>
      <c r="R5" s="749"/>
      <c r="S5" s="750">
        <f>FA!E8</f>
        <v>42045</v>
      </c>
      <c r="T5" s="750"/>
      <c r="U5" s="750"/>
      <c r="AG5" s="105" t="s">
        <v>249</v>
      </c>
      <c r="AH5" s="105">
        <v>1001</v>
      </c>
    </row>
    <row r="6" spans="1:34" s="105" customFormat="1" ht="10.5" customHeight="1">
      <c r="I6" s="722"/>
      <c r="J6" s="722"/>
      <c r="K6" s="722"/>
      <c r="L6" s="298"/>
      <c r="S6" s="106"/>
    </row>
    <row r="7" spans="1:34" s="16" customFormat="1" ht="22.5" customHeight="1">
      <c r="A7" s="243" t="s">
        <v>68</v>
      </c>
      <c r="B7" s="244"/>
      <c r="C7" s="244"/>
      <c r="D7" s="245"/>
      <c r="E7" s="245"/>
      <c r="F7" s="246"/>
      <c r="G7" s="246"/>
      <c r="H7" s="246"/>
      <c r="I7" s="246"/>
      <c r="J7" s="246"/>
      <c r="K7" s="246"/>
      <c r="L7" s="246"/>
      <c r="M7" s="244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5"/>
      <c r="Z7" s="245"/>
      <c r="AA7" s="245"/>
      <c r="AB7" s="245"/>
      <c r="AC7" s="245"/>
      <c r="AD7" s="245"/>
      <c r="AE7" s="245"/>
      <c r="AF7" s="108"/>
    </row>
    <row r="8" spans="1:34" s="124" customFormat="1" ht="22.5" customHeight="1">
      <c r="A8" s="717" t="s">
        <v>280</v>
      </c>
      <c r="B8" s="718"/>
      <c r="C8" s="718"/>
      <c r="D8" s="719"/>
      <c r="E8" s="717" t="s">
        <v>276</v>
      </c>
      <c r="F8" s="718"/>
      <c r="G8" s="718"/>
      <c r="H8" s="719"/>
      <c r="I8" s="717" t="s">
        <v>277</v>
      </c>
      <c r="J8" s="718"/>
      <c r="K8" s="718"/>
      <c r="L8" s="719"/>
      <c r="M8" s="717" t="s">
        <v>281</v>
      </c>
      <c r="N8" s="718"/>
      <c r="O8" s="718"/>
      <c r="P8" s="719"/>
      <c r="Q8" s="717" t="s">
        <v>278</v>
      </c>
      <c r="R8" s="718"/>
      <c r="S8" s="718"/>
      <c r="T8" s="719"/>
      <c r="U8" s="717" t="s">
        <v>279</v>
      </c>
      <c r="V8" s="718"/>
      <c r="W8" s="718"/>
      <c r="X8" s="719"/>
      <c r="Y8" s="717" t="s">
        <v>283</v>
      </c>
      <c r="Z8" s="718"/>
      <c r="AA8" s="718"/>
      <c r="AB8" s="719"/>
      <c r="AC8" s="717" t="s">
        <v>282</v>
      </c>
      <c r="AD8" s="718"/>
      <c r="AE8" s="718"/>
      <c r="AF8" s="719"/>
    </row>
    <row r="9" spans="1:34" s="16" customFormat="1" ht="48.75" customHeight="1">
      <c r="A9" s="157"/>
      <c r="B9" s="158"/>
      <c r="C9" s="158"/>
      <c r="D9" s="159"/>
      <c r="E9" s="160"/>
      <c r="F9" s="160"/>
      <c r="G9" s="160"/>
      <c r="H9" s="161"/>
      <c r="I9" s="160"/>
      <c r="J9" s="160"/>
      <c r="K9" s="160"/>
      <c r="L9" s="161"/>
      <c r="M9" s="160"/>
      <c r="N9" s="160"/>
      <c r="O9" s="160"/>
      <c r="P9" s="161"/>
      <c r="Q9" s="160"/>
      <c r="R9" s="162"/>
      <c r="S9" s="162"/>
      <c r="T9" s="163"/>
      <c r="U9" s="160"/>
      <c r="V9" s="162"/>
      <c r="W9" s="162"/>
      <c r="X9" s="163"/>
      <c r="Y9" s="164"/>
      <c r="Z9" s="162"/>
      <c r="AA9" s="162"/>
      <c r="AB9" s="163"/>
      <c r="AC9" s="165"/>
      <c r="AD9" s="166"/>
      <c r="AE9" s="166"/>
      <c r="AF9" s="167"/>
    </row>
    <row r="10" spans="1:34" s="16" customFormat="1" ht="26.25" customHeight="1">
      <c r="A10" s="143"/>
      <c r="B10" s="144"/>
      <c r="C10" s="144"/>
      <c r="D10" s="145"/>
      <c r="E10" s="146" t="s">
        <v>130</v>
      </c>
      <c r="F10" s="146"/>
      <c r="G10" s="146"/>
      <c r="H10" s="147"/>
      <c r="I10" s="146" t="s">
        <v>130</v>
      </c>
      <c r="J10" s="146"/>
      <c r="K10" s="146"/>
      <c r="L10" s="147"/>
      <c r="M10" s="146" t="s">
        <v>130</v>
      </c>
      <c r="N10" s="146"/>
      <c r="O10" s="146"/>
      <c r="P10" s="147"/>
      <c r="Q10" s="146" t="s">
        <v>130</v>
      </c>
      <c r="R10" s="148"/>
      <c r="S10" s="148"/>
      <c r="T10" s="149"/>
      <c r="U10" s="150" t="s">
        <v>130</v>
      </c>
      <c r="V10" s="151"/>
      <c r="W10" s="151"/>
      <c r="X10" s="152"/>
      <c r="Y10" s="153" t="s">
        <v>130</v>
      </c>
      <c r="Z10" s="148"/>
      <c r="AA10" s="148"/>
      <c r="AB10" s="149"/>
      <c r="AC10" s="154" t="s">
        <v>130</v>
      </c>
      <c r="AD10" s="155"/>
      <c r="AE10" s="155"/>
      <c r="AF10" s="156"/>
    </row>
    <row r="11" spans="1:34" s="110" customFormat="1" ht="10.5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s="170"/>
      <c r="R11" s="170"/>
      <c r="S11" s="170"/>
      <c r="T11" s="171"/>
      <c r="U11" s="1"/>
      <c r="V11" s="1"/>
      <c r="W11" s="1"/>
      <c r="X11" s="1"/>
      <c r="Y11" s="169"/>
      <c r="Z11"/>
      <c r="AA11"/>
      <c r="AB11"/>
      <c r="AC11"/>
      <c r="AD11"/>
      <c r="AE11"/>
      <c r="AF11"/>
    </row>
    <row r="12" spans="1:34" s="111" customFormat="1" ht="22.5" customHeight="1">
      <c r="A12" s="723" t="str">
        <f>FA!A12</f>
        <v>Dateiablage</v>
      </c>
      <c r="B12" s="723"/>
      <c r="C12" s="723"/>
      <c r="D12" s="723"/>
      <c r="E12" s="726" t="str">
        <f>FA!H2</f>
        <v>X:\auftragsmanagement\Sachsenwerk\150116_Div. Luftleitschilde</v>
      </c>
      <c r="F12" s="726"/>
      <c r="G12" s="726"/>
      <c r="H12" s="726"/>
      <c r="I12" s="726"/>
      <c r="J12" s="726"/>
      <c r="K12" s="726"/>
      <c r="L12" s="726"/>
      <c r="M12" s="726"/>
      <c r="N12" s="726"/>
      <c r="O12" s="727"/>
      <c r="P12" s="114"/>
      <c r="Q12" s="724" t="s">
        <v>85</v>
      </c>
      <c r="R12" s="725"/>
      <c r="S12" s="725"/>
      <c r="T12" s="725"/>
      <c r="U12" s="119"/>
      <c r="V12" s="120" t="s">
        <v>255</v>
      </c>
      <c r="W12" s="119"/>
      <c r="X12" s="120" t="s">
        <v>256</v>
      </c>
      <c r="Y12" s="121"/>
      <c r="Z12" s="122"/>
      <c r="AA12" s="115"/>
      <c r="AB12" s="115"/>
      <c r="AC12" s="115"/>
      <c r="AD12" s="115"/>
      <c r="AE12" s="115"/>
      <c r="AF12" s="116"/>
    </row>
    <row r="13" spans="1:34" s="111" customFormat="1" ht="10.5" customHeight="1">
      <c r="K13" s="84"/>
      <c r="L13" s="84"/>
      <c r="M13" s="84"/>
      <c r="N13" s="84"/>
      <c r="O13" s="84"/>
      <c r="P13" s="84"/>
      <c r="Q13" s="126" t="s">
        <v>264</v>
      </c>
      <c r="R13" s="127"/>
      <c r="S13" s="127"/>
      <c r="T13" s="127"/>
      <c r="U13" s="35"/>
      <c r="V13" s="35"/>
      <c r="W13" s="35"/>
      <c r="X13" s="35"/>
      <c r="Y13" s="35"/>
      <c r="Z13" s="105"/>
      <c r="AA13" s="105"/>
      <c r="AB13" s="105"/>
      <c r="AC13" s="105"/>
      <c r="AD13" s="105"/>
      <c r="AE13" s="105"/>
      <c r="AF13" s="117"/>
    </row>
    <row r="14" spans="1:34" s="84" customFormat="1" ht="22.5" customHeight="1">
      <c r="A14" s="168" t="s">
        <v>257</v>
      </c>
      <c r="B14" s="168"/>
      <c r="C14" s="168" t="s">
        <v>258</v>
      </c>
      <c r="D14" s="168"/>
      <c r="E14" s="738">
        <f>SUM(Ablauf!V20:V59)</f>
        <v>4.522857142857144</v>
      </c>
      <c r="F14" s="738"/>
      <c r="G14" s="738"/>
      <c r="H14" s="739"/>
      <c r="I14" s="736" t="s">
        <v>259</v>
      </c>
      <c r="J14" s="737"/>
      <c r="K14" s="752"/>
      <c r="L14" s="752"/>
      <c r="M14" s="752"/>
      <c r="N14" s="752"/>
      <c r="O14" s="753"/>
      <c r="Q14" s="755"/>
      <c r="R14" s="756"/>
      <c r="S14" s="756"/>
      <c r="T14" s="756"/>
      <c r="U14" s="756"/>
      <c r="V14" s="756"/>
      <c r="W14" s="756"/>
      <c r="X14" s="756"/>
      <c r="Y14" s="756"/>
      <c r="Z14" s="756"/>
      <c r="AA14" s="756"/>
      <c r="AB14" s="756"/>
      <c r="AC14" s="756"/>
      <c r="AD14" s="756"/>
      <c r="AE14" s="756"/>
      <c r="AF14" s="757"/>
    </row>
    <row r="15" spans="1:34" s="84" customFormat="1" ht="10.5" customHeight="1">
      <c r="A15" s="118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Q15" s="755"/>
      <c r="R15" s="756"/>
      <c r="S15" s="756"/>
      <c r="T15" s="756"/>
      <c r="U15" s="756"/>
      <c r="V15" s="756"/>
      <c r="W15" s="756"/>
      <c r="X15" s="756"/>
      <c r="Y15" s="756"/>
      <c r="Z15" s="756"/>
      <c r="AA15" s="756"/>
      <c r="AB15" s="756"/>
      <c r="AC15" s="756"/>
      <c r="AD15" s="756"/>
      <c r="AE15" s="756"/>
      <c r="AF15" s="757"/>
    </row>
    <row r="16" spans="1:34" s="84" customFormat="1" ht="22.5" customHeight="1">
      <c r="A16" s="737" t="s">
        <v>260</v>
      </c>
      <c r="B16" s="737"/>
      <c r="C16" s="737"/>
      <c r="D16" s="737"/>
      <c r="E16" s="731" t="str">
        <f>Ablauf!D5</f>
        <v>RAL 7035</v>
      </c>
      <c r="F16" s="731"/>
      <c r="G16" s="731"/>
      <c r="H16" s="732"/>
      <c r="I16" s="736" t="s">
        <v>261</v>
      </c>
      <c r="J16" s="737"/>
      <c r="K16" s="737"/>
      <c r="L16" s="731">
        <f>Ablauf!D7</f>
        <v>0</v>
      </c>
      <c r="M16" s="731"/>
      <c r="N16" s="731"/>
      <c r="O16" s="732"/>
      <c r="Q16" s="758"/>
      <c r="R16" s="759"/>
      <c r="S16" s="759"/>
      <c r="T16" s="759"/>
      <c r="U16" s="759"/>
      <c r="V16" s="759"/>
      <c r="W16" s="759"/>
      <c r="X16" s="759"/>
      <c r="Y16" s="759"/>
      <c r="Z16" s="759"/>
      <c r="AA16" s="759"/>
      <c r="AB16" s="759"/>
      <c r="AC16" s="759"/>
      <c r="AD16" s="759"/>
      <c r="AE16" s="759"/>
      <c r="AF16" s="760"/>
    </row>
    <row r="17" spans="1:32" s="84" customFormat="1" ht="10.5" customHeight="1">
      <c r="B17" s="112"/>
      <c r="C17" s="112"/>
      <c r="D17" s="112"/>
      <c r="E17" s="113"/>
      <c r="F17" s="112"/>
      <c r="G17" s="112"/>
      <c r="H17" s="112"/>
      <c r="I17" s="112"/>
      <c r="J17" s="112"/>
      <c r="K17" s="112"/>
      <c r="L17" s="112"/>
      <c r="M17" s="112"/>
      <c r="N17" s="112"/>
    </row>
    <row r="18" spans="1:32" s="16" customFormat="1" ht="22.5" customHeight="1">
      <c r="A18" s="123" t="s">
        <v>112</v>
      </c>
      <c r="B18" s="107"/>
      <c r="C18" s="107"/>
      <c r="D18" s="108"/>
      <c r="E18" s="108"/>
      <c r="F18" s="109"/>
      <c r="G18" s="109"/>
      <c r="H18" s="109"/>
      <c r="I18" s="109"/>
      <c r="J18" s="109"/>
      <c r="K18" s="109"/>
      <c r="L18" s="109"/>
      <c r="M18" s="107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8"/>
      <c r="Z18" s="108"/>
      <c r="AA18" s="108"/>
      <c r="AB18" s="108"/>
      <c r="AC18" s="108"/>
      <c r="AD18" s="108"/>
      <c r="AE18" s="108"/>
      <c r="AF18" s="108"/>
    </row>
    <row r="19" spans="1:32" s="125" customFormat="1" ht="22.5" customHeight="1">
      <c r="A19" s="125" t="s">
        <v>262</v>
      </c>
      <c r="B19" s="728" t="s">
        <v>107</v>
      </c>
      <c r="C19" s="728"/>
      <c r="D19" s="729" t="s">
        <v>267</v>
      </c>
      <c r="E19" s="729"/>
      <c r="F19" s="134" t="s">
        <v>263</v>
      </c>
      <c r="G19" s="134"/>
      <c r="H19" s="134"/>
      <c r="I19" s="134"/>
      <c r="J19" s="134"/>
      <c r="K19" s="134"/>
      <c r="L19" s="134"/>
      <c r="M19" s="728" t="s">
        <v>331</v>
      </c>
      <c r="N19" s="728"/>
      <c r="O19" s="729" t="s">
        <v>308</v>
      </c>
      <c r="P19" s="729"/>
      <c r="Q19" s="729"/>
      <c r="R19" s="729"/>
      <c r="S19" s="729"/>
      <c r="T19" s="729"/>
      <c r="U19" s="766" t="s">
        <v>265</v>
      </c>
      <c r="V19" s="766"/>
      <c r="W19" s="766"/>
      <c r="X19" s="766"/>
      <c r="Y19" s="743" t="s">
        <v>53</v>
      </c>
      <c r="Z19" s="743"/>
      <c r="AA19" s="743"/>
      <c r="AB19" s="743"/>
      <c r="AC19" s="743"/>
      <c r="AD19" s="743"/>
      <c r="AE19" s="743"/>
      <c r="AF19" s="743"/>
    </row>
    <row r="20" spans="1:32" s="136" customFormat="1" ht="27.75" customHeight="1">
      <c r="A20" s="135">
        <v>1</v>
      </c>
      <c r="B20" s="733" t="s">
        <v>30</v>
      </c>
      <c r="C20" s="733"/>
      <c r="D20" s="730" t="str">
        <f>INDEX(Stammdaten!A121:A151,MATCH(F20,Stammdaten!C121:C151,0))</f>
        <v>M05</v>
      </c>
      <c r="E20" s="730"/>
      <c r="F20" s="741" t="str">
        <f>Harztyp</f>
        <v>A430</v>
      </c>
      <c r="G20" s="741"/>
      <c r="H20" s="741"/>
      <c r="I20" s="741"/>
      <c r="J20" s="741"/>
      <c r="K20" s="741"/>
      <c r="L20" s="741"/>
      <c r="M20" s="742">
        <f>SUM(Ablauf!U20:U59)</f>
        <v>1899.8571428571431</v>
      </c>
      <c r="N20" s="742"/>
      <c r="O20" s="764"/>
      <c r="P20" s="764"/>
      <c r="Q20" s="764"/>
      <c r="R20" s="764"/>
      <c r="S20" s="764"/>
      <c r="T20" s="764"/>
      <c r="U20" s="735"/>
      <c r="V20" s="735"/>
      <c r="W20" s="735"/>
      <c r="X20" s="735"/>
      <c r="Y20" s="735"/>
      <c r="Z20" s="735"/>
      <c r="AA20" s="735"/>
      <c r="AB20" s="735"/>
      <c r="AC20" s="735"/>
      <c r="AD20" s="735"/>
      <c r="AE20" s="735"/>
      <c r="AF20" s="735"/>
    </row>
    <row r="21" spans="1:32" s="136" customFormat="1" ht="27.75" customHeight="1">
      <c r="A21" s="137">
        <v>2</v>
      </c>
      <c r="B21" s="733" t="s">
        <v>101</v>
      </c>
      <c r="C21" s="733"/>
      <c r="D21" s="730" t="str">
        <f>INDEX(Stammdaten!A109:A119,MATCH(Ablauf!D4,Stammdaten!C109:C119,0))</f>
        <v>C01</v>
      </c>
      <c r="E21" s="730"/>
      <c r="F21" s="741" t="str">
        <f>Ablauf!D4&amp;" "&amp;Ablauf!D5</f>
        <v>Formenbaugelcoat RAL 7035</v>
      </c>
      <c r="G21" s="741"/>
      <c r="H21" s="741"/>
      <c r="I21" s="741"/>
      <c r="J21" s="741"/>
      <c r="K21" s="741"/>
      <c r="L21" s="741"/>
      <c r="M21" s="767">
        <f>SUM(Ablauf!Z20:Z59)*1000</f>
        <v>1600</v>
      </c>
      <c r="N21" s="767"/>
      <c r="O21" s="751"/>
      <c r="P21" s="751"/>
      <c r="Q21" s="751"/>
      <c r="R21" s="751"/>
      <c r="S21" s="751"/>
      <c r="T21" s="751"/>
      <c r="U21" s="763"/>
      <c r="V21" s="763"/>
      <c r="W21" s="763"/>
      <c r="X21" s="763"/>
      <c r="Y21" s="763"/>
      <c r="Z21" s="763"/>
      <c r="AA21" s="763"/>
      <c r="AB21" s="763"/>
      <c r="AC21" s="763"/>
      <c r="AD21" s="763"/>
      <c r="AE21" s="763"/>
      <c r="AF21" s="763"/>
    </row>
    <row r="22" spans="1:32" s="138" customFormat="1" ht="27.75" customHeight="1" thickBot="1">
      <c r="A22" s="139">
        <v>3</v>
      </c>
      <c r="B22" s="734" t="s">
        <v>103</v>
      </c>
      <c r="C22" s="734"/>
      <c r="D22" s="775" t="str">
        <f>INDEX(Stammdaten!A109:A119,MATCH(Ablauf!D6,Stammdaten!C109:C119,0))</f>
        <v>C01</v>
      </c>
      <c r="E22" s="775"/>
      <c r="F22" s="744" t="str">
        <f>Ablauf!D6&amp;" "&amp;Ablauf!D7</f>
        <v xml:space="preserve">Formenbaugelcoat </v>
      </c>
      <c r="G22" s="744"/>
      <c r="H22" s="744"/>
      <c r="I22" s="744"/>
      <c r="J22" s="744"/>
      <c r="K22" s="744"/>
      <c r="L22" s="744"/>
      <c r="M22" s="768">
        <f>SUM(Ablauf!AB20:AB59)*1000</f>
        <v>0</v>
      </c>
      <c r="N22" s="768"/>
      <c r="O22" s="777"/>
      <c r="P22" s="777"/>
      <c r="Q22" s="777"/>
      <c r="R22" s="777"/>
      <c r="S22" s="777"/>
      <c r="T22" s="777"/>
      <c r="U22" s="762"/>
      <c r="V22" s="762"/>
      <c r="W22" s="762"/>
      <c r="X22" s="762"/>
      <c r="Y22" s="762"/>
      <c r="Z22" s="762"/>
      <c r="AA22" s="762"/>
      <c r="AB22" s="762"/>
      <c r="AC22" s="762"/>
      <c r="AD22" s="762"/>
      <c r="AE22" s="762"/>
      <c r="AF22" s="762"/>
    </row>
    <row r="23" spans="1:32" s="138" customFormat="1" ht="27.75" customHeight="1">
      <c r="A23" s="191">
        <v>4</v>
      </c>
      <c r="B23" s="778" t="s">
        <v>266</v>
      </c>
      <c r="C23" s="778"/>
      <c r="D23" s="776"/>
      <c r="E23" s="776"/>
      <c r="F23" s="765" t="str">
        <f>IF(M23=0,"",INDEX(Ablauf!$AG$20:$AG$59,MATCH(M23,Ablauf!$AN$20:$AN$59,0)))</f>
        <v>K1800 235 g/m²</v>
      </c>
      <c r="G23" s="765"/>
      <c r="H23" s="765"/>
      <c r="I23" s="765"/>
      <c r="J23" s="765"/>
      <c r="K23" s="765"/>
      <c r="L23" s="765"/>
      <c r="M23" s="769">
        <f>LARGE(Ablauf!AN20:AN59,1)</f>
        <v>940</v>
      </c>
      <c r="N23" s="769"/>
      <c r="O23" s="770"/>
      <c r="P23" s="770"/>
      <c r="Q23" s="770"/>
      <c r="R23" s="770"/>
      <c r="S23" s="770"/>
      <c r="T23" s="770"/>
      <c r="U23" s="771"/>
      <c r="V23" s="771"/>
      <c r="W23" s="771"/>
      <c r="X23" s="771"/>
      <c r="Y23" s="771"/>
      <c r="Z23" s="771"/>
      <c r="AA23" s="771"/>
      <c r="AB23" s="771"/>
      <c r="AC23" s="771"/>
      <c r="AD23" s="771"/>
      <c r="AE23" s="771"/>
      <c r="AF23" s="771"/>
    </row>
    <row r="24" spans="1:32" s="138" customFormat="1" ht="27.75" customHeight="1">
      <c r="A24" s="137">
        <v>5</v>
      </c>
      <c r="B24" s="733" t="s">
        <v>266</v>
      </c>
      <c r="C24" s="733"/>
      <c r="D24" s="730"/>
      <c r="E24" s="730"/>
      <c r="F24" s="741" t="str">
        <f>IF(M24=0,"",INDEX(Ablauf!$AG$20:$AG$59,MATCH(M24,Ablauf!$AN$20:$AN$59,0)))</f>
        <v>Abreissgewebe 83 g/m²</v>
      </c>
      <c r="G24" s="741"/>
      <c r="H24" s="741"/>
      <c r="I24" s="741"/>
      <c r="J24" s="741"/>
      <c r="K24" s="741"/>
      <c r="L24" s="741"/>
      <c r="M24" s="742">
        <f>LARGE(Ablauf!AN21:AN60,2)</f>
        <v>83</v>
      </c>
      <c r="N24" s="742"/>
      <c r="O24" s="751"/>
      <c r="P24" s="751"/>
      <c r="Q24" s="751"/>
      <c r="R24" s="751"/>
      <c r="S24" s="751"/>
      <c r="T24" s="751"/>
      <c r="U24" s="763"/>
      <c r="V24" s="763"/>
      <c r="W24" s="763"/>
      <c r="X24" s="763"/>
      <c r="Y24" s="763"/>
      <c r="Z24" s="763"/>
      <c r="AA24" s="763"/>
      <c r="AB24" s="763"/>
      <c r="AC24" s="763"/>
      <c r="AD24" s="763"/>
      <c r="AE24" s="763"/>
      <c r="AF24" s="763"/>
    </row>
    <row r="25" spans="1:32" s="138" customFormat="1" ht="27.75" customHeight="1">
      <c r="A25" s="137">
        <v>6</v>
      </c>
      <c r="B25" s="733" t="s">
        <v>266</v>
      </c>
      <c r="C25" s="733"/>
      <c r="D25" s="730"/>
      <c r="E25" s="730"/>
      <c r="F25" s="741" t="str">
        <f>IF(M25=0,"",INDEX(Ablauf!$AG$20:$AG$59,MATCH(M25,Ablauf!$AN$20:$AN$59,0)))</f>
        <v/>
      </c>
      <c r="G25" s="741"/>
      <c r="H25" s="741"/>
      <c r="I25" s="741"/>
      <c r="J25" s="741"/>
      <c r="K25" s="741"/>
      <c r="L25" s="741"/>
      <c r="M25" s="742">
        <f>LARGE(Ablauf!AN22:AN61,3)</f>
        <v>0</v>
      </c>
      <c r="N25" s="742"/>
      <c r="O25" s="751"/>
      <c r="P25" s="751"/>
      <c r="Q25" s="751"/>
      <c r="R25" s="751"/>
      <c r="S25" s="751"/>
      <c r="T25" s="751"/>
      <c r="U25" s="763"/>
      <c r="V25" s="763"/>
      <c r="W25" s="763"/>
      <c r="X25" s="763"/>
      <c r="Y25" s="763"/>
      <c r="Z25" s="763"/>
      <c r="AA25" s="763"/>
      <c r="AB25" s="763"/>
      <c r="AC25" s="763"/>
      <c r="AD25" s="763"/>
      <c r="AE25" s="763"/>
      <c r="AF25" s="763"/>
    </row>
    <row r="26" spans="1:32" s="138" customFormat="1" ht="27.75" customHeight="1" thickBot="1">
      <c r="A26" s="139">
        <v>7</v>
      </c>
      <c r="B26" s="734" t="s">
        <v>266</v>
      </c>
      <c r="C26" s="734"/>
      <c r="D26" s="775"/>
      <c r="E26" s="775"/>
      <c r="F26" s="744" t="str">
        <f>IF(M26=0,"",INDEX(Ablauf!$AG$20:$AG$59,MATCH(M26,Ablauf!$AN$20:$AN$59,0)))</f>
        <v/>
      </c>
      <c r="G26" s="744"/>
      <c r="H26" s="744"/>
      <c r="I26" s="744"/>
      <c r="J26" s="744"/>
      <c r="K26" s="744"/>
      <c r="L26" s="744"/>
      <c r="M26" s="772">
        <f>LARGE(Ablauf!AN23:AN62,4)</f>
        <v>0</v>
      </c>
      <c r="N26" s="772"/>
      <c r="O26" s="761"/>
      <c r="P26" s="761"/>
      <c r="Q26" s="761"/>
      <c r="R26" s="761"/>
      <c r="S26" s="761"/>
      <c r="T26" s="761"/>
      <c r="U26" s="762"/>
      <c r="V26" s="762"/>
      <c r="W26" s="762"/>
      <c r="X26" s="762"/>
      <c r="Y26" s="762"/>
      <c r="Z26" s="762"/>
      <c r="AA26" s="762"/>
      <c r="AB26" s="762"/>
      <c r="AC26" s="762"/>
      <c r="AD26" s="762"/>
      <c r="AE26" s="762"/>
      <c r="AF26" s="762"/>
    </row>
    <row r="27" spans="1:32" s="138" customFormat="1" ht="27.75" customHeight="1">
      <c r="A27" s="135">
        <v>8</v>
      </c>
      <c r="B27" s="733" t="s">
        <v>193</v>
      </c>
      <c r="C27" s="733"/>
      <c r="D27" s="730"/>
      <c r="E27" s="730"/>
      <c r="F27" s="741"/>
      <c r="G27" s="741"/>
      <c r="H27" s="741"/>
      <c r="I27" s="741"/>
      <c r="J27" s="741"/>
      <c r="K27" s="741"/>
      <c r="L27" s="741"/>
      <c r="M27" s="774"/>
      <c r="N27" s="774"/>
      <c r="O27" s="764"/>
      <c r="P27" s="764"/>
      <c r="Q27" s="764"/>
      <c r="R27" s="764"/>
      <c r="S27" s="764"/>
      <c r="T27" s="764"/>
      <c r="U27" s="735"/>
      <c r="V27" s="735"/>
      <c r="W27" s="735"/>
      <c r="X27" s="735"/>
      <c r="Y27" s="735"/>
      <c r="Z27" s="735"/>
      <c r="AA27" s="735"/>
      <c r="AB27" s="735"/>
      <c r="AC27" s="735"/>
      <c r="AD27" s="735"/>
      <c r="AE27" s="735"/>
      <c r="AF27" s="735"/>
    </row>
    <row r="28" spans="1:32" s="138" customFormat="1" ht="27.75" customHeight="1">
      <c r="A28" s="137">
        <v>9</v>
      </c>
      <c r="B28" s="733" t="s">
        <v>193</v>
      </c>
      <c r="C28" s="733"/>
      <c r="D28" s="730"/>
      <c r="E28" s="730"/>
      <c r="F28" s="741"/>
      <c r="G28" s="741"/>
      <c r="H28" s="741"/>
      <c r="I28" s="741"/>
      <c r="J28" s="741"/>
      <c r="K28" s="741"/>
      <c r="L28" s="741"/>
      <c r="M28" s="773"/>
      <c r="N28" s="773"/>
      <c r="O28" s="751"/>
      <c r="P28" s="751"/>
      <c r="Q28" s="751"/>
      <c r="R28" s="751"/>
      <c r="S28" s="751"/>
      <c r="T28" s="751"/>
      <c r="U28" s="763"/>
      <c r="V28" s="763"/>
      <c r="W28" s="763"/>
      <c r="X28" s="763"/>
      <c r="Y28" s="763"/>
      <c r="Z28" s="763"/>
      <c r="AA28" s="763"/>
      <c r="AB28" s="763"/>
      <c r="AC28" s="763"/>
      <c r="AD28" s="763"/>
      <c r="AE28" s="763"/>
      <c r="AF28" s="763"/>
    </row>
    <row r="29" spans="1:32" s="138" customFormat="1" ht="27.75" customHeight="1">
      <c r="A29" s="137">
        <v>10</v>
      </c>
      <c r="B29" s="733" t="s">
        <v>193</v>
      </c>
      <c r="C29" s="733"/>
      <c r="D29" s="730"/>
      <c r="E29" s="730"/>
      <c r="F29" s="741"/>
      <c r="G29" s="741"/>
      <c r="H29" s="741"/>
      <c r="I29" s="741"/>
      <c r="J29" s="741"/>
      <c r="K29" s="741"/>
      <c r="L29" s="741"/>
      <c r="M29" s="773"/>
      <c r="N29" s="773"/>
      <c r="O29" s="751"/>
      <c r="P29" s="751"/>
      <c r="Q29" s="751"/>
      <c r="R29" s="751"/>
      <c r="S29" s="751"/>
      <c r="T29" s="751"/>
      <c r="U29" s="763"/>
      <c r="V29" s="763"/>
      <c r="W29" s="763"/>
      <c r="X29" s="763"/>
      <c r="Y29" s="763"/>
      <c r="Z29" s="763"/>
      <c r="AA29" s="763"/>
      <c r="AB29" s="763"/>
      <c r="AC29" s="763"/>
      <c r="AD29" s="763"/>
      <c r="AE29" s="763"/>
      <c r="AF29" s="763"/>
    </row>
    <row r="30" spans="1:32" s="138" customFormat="1" ht="27.75" customHeight="1">
      <c r="A30" s="137">
        <v>11</v>
      </c>
      <c r="B30" s="733" t="s">
        <v>193</v>
      </c>
      <c r="C30" s="733"/>
      <c r="D30" s="730"/>
      <c r="E30" s="730"/>
      <c r="F30" s="741"/>
      <c r="G30" s="741"/>
      <c r="H30" s="741"/>
      <c r="I30" s="741"/>
      <c r="J30" s="741"/>
      <c r="K30" s="741"/>
      <c r="L30" s="741"/>
      <c r="M30" s="773"/>
      <c r="N30" s="773"/>
      <c r="O30" s="751"/>
      <c r="P30" s="751"/>
      <c r="Q30" s="751"/>
      <c r="R30" s="751"/>
      <c r="S30" s="751"/>
      <c r="T30" s="751"/>
      <c r="U30" s="763"/>
      <c r="V30" s="763"/>
      <c r="W30" s="763"/>
      <c r="X30" s="763"/>
      <c r="Y30" s="763"/>
      <c r="Z30" s="763"/>
      <c r="AA30" s="763"/>
      <c r="AB30" s="763"/>
      <c r="AC30" s="763"/>
      <c r="AD30" s="763"/>
      <c r="AE30" s="763"/>
      <c r="AF30" s="763"/>
    </row>
    <row r="31" spans="1:32" s="138" customFormat="1" ht="27.75" customHeight="1">
      <c r="A31" s="137">
        <v>12</v>
      </c>
      <c r="B31" s="785" t="s">
        <v>193</v>
      </c>
      <c r="C31" s="785"/>
      <c r="D31" s="780"/>
      <c r="E31" s="780"/>
      <c r="F31" s="779"/>
      <c r="G31" s="779"/>
      <c r="H31" s="779"/>
      <c r="I31" s="779"/>
      <c r="J31" s="779"/>
      <c r="K31" s="779"/>
      <c r="L31" s="779"/>
      <c r="M31" s="773"/>
      <c r="N31" s="773"/>
      <c r="O31" s="751"/>
      <c r="P31" s="751"/>
      <c r="Q31" s="751"/>
      <c r="R31" s="751"/>
      <c r="S31" s="751"/>
      <c r="T31" s="751"/>
      <c r="U31" s="763"/>
      <c r="V31" s="763"/>
      <c r="W31" s="763"/>
      <c r="X31" s="763"/>
      <c r="Y31" s="763"/>
      <c r="Z31" s="763"/>
      <c r="AA31" s="763"/>
      <c r="AB31" s="763"/>
      <c r="AC31" s="763"/>
      <c r="AD31" s="763"/>
      <c r="AE31" s="763"/>
      <c r="AF31" s="763"/>
    </row>
    <row r="32" spans="1:32" s="138" customFormat="1" ht="7.5" customHeight="1" thickBot="1">
      <c r="A32" s="173"/>
      <c r="B32" s="175"/>
      <c r="C32" s="175"/>
      <c r="D32" s="176"/>
      <c r="E32" s="176"/>
      <c r="F32" s="188"/>
      <c r="G32" s="188"/>
      <c r="H32" s="188"/>
      <c r="I32" s="188"/>
      <c r="J32" s="188"/>
      <c r="K32" s="188"/>
      <c r="L32" s="188"/>
      <c r="M32" s="189"/>
      <c r="N32" s="189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0"/>
      <c r="AA32" s="190"/>
      <c r="AB32" s="190"/>
      <c r="AC32" s="190"/>
      <c r="AD32" s="190"/>
      <c r="AE32" s="190"/>
      <c r="AF32" s="190"/>
    </row>
    <row r="33" spans="1:34" s="140" customFormat="1" ht="18.75" customHeight="1" thickBot="1">
      <c r="A33" s="782" t="s">
        <v>83</v>
      </c>
      <c r="B33" s="783"/>
      <c r="C33" s="781" t="str">
        <f>"V "&amp;Ablauf!C1</f>
        <v>V 0.1</v>
      </c>
      <c r="D33" s="781"/>
      <c r="E33" s="187"/>
      <c r="F33" s="784" t="s">
        <v>294</v>
      </c>
      <c r="G33" s="784"/>
      <c r="H33" s="781" t="s">
        <v>84</v>
      </c>
      <c r="I33" s="781"/>
      <c r="J33" s="784" t="s">
        <v>295</v>
      </c>
      <c r="K33" s="784"/>
      <c r="L33" s="781" t="s">
        <v>298</v>
      </c>
      <c r="M33" s="781"/>
      <c r="N33" s="784" t="s">
        <v>296</v>
      </c>
      <c r="O33" s="784"/>
      <c r="P33" s="781" t="s">
        <v>297</v>
      </c>
      <c r="Q33" s="781"/>
      <c r="R33" s="781"/>
      <c r="S33" s="299"/>
      <c r="T33" s="299"/>
      <c r="U33" s="299"/>
      <c r="V33" s="720" t="str">
        <f>FA!D45</f>
        <v>Ò0$H-!&gt;' f@Ó</v>
      </c>
      <c r="W33" s="720"/>
      <c r="X33" s="720"/>
      <c r="Y33" s="720"/>
      <c r="Z33" s="720"/>
      <c r="AA33" s="720"/>
      <c r="AB33" s="720"/>
      <c r="AC33" s="720"/>
      <c r="AD33" s="720"/>
      <c r="AE33" s="720"/>
      <c r="AF33" s="721"/>
    </row>
    <row r="34" spans="1:34" s="1" customFormat="1" ht="25.5" customHeight="1">
      <c r="A34" s="747" t="str">
        <f>"QSP "&amp;FA!C9&amp;"-"&amp;RIGHT(AH5,3)</f>
        <v>QSP 215007SADI1-001</v>
      </c>
      <c r="B34" s="747"/>
      <c r="C34" s="747"/>
      <c r="D34" s="747"/>
      <c r="E34" s="747"/>
      <c r="F34" s="747"/>
      <c r="G34" s="747"/>
      <c r="H34" s="747"/>
      <c r="I34" s="745" t="str">
        <f>I1</f>
        <v>BTN Kunde</v>
      </c>
      <c r="J34" s="745"/>
      <c r="K34" s="740" t="str">
        <f>K1</f>
        <v/>
      </c>
      <c r="L34" s="740"/>
      <c r="M34" s="740"/>
      <c r="N34" s="740"/>
      <c r="O34" s="740"/>
      <c r="P34" s="740"/>
      <c r="Q34" s="740"/>
      <c r="R34" s="740"/>
      <c r="S34" s="740"/>
      <c r="T34" s="740"/>
      <c r="U34" s="746" t="s">
        <v>343</v>
      </c>
      <c r="V34" s="745"/>
      <c r="W34" s="740" t="str">
        <f>W1</f>
        <v>Ò5R'ÍSADI1-001pÓ</v>
      </c>
      <c r="X34" s="740"/>
      <c r="Y34" s="740"/>
      <c r="Z34" s="740"/>
      <c r="AA34" s="740"/>
      <c r="AB34" s="740"/>
      <c r="AC34" s="740"/>
      <c r="AD34" s="740"/>
      <c r="AE34" s="740"/>
      <c r="AF34" s="740"/>
    </row>
    <row r="35" spans="1:34" s="1" customFormat="1" ht="22.5" customHeight="1">
      <c r="A35" s="747"/>
      <c r="B35" s="747"/>
      <c r="C35" s="747"/>
      <c r="D35" s="747"/>
      <c r="E35" s="747"/>
      <c r="F35" s="747"/>
      <c r="G35" s="747"/>
      <c r="H35" s="747"/>
      <c r="I35" s="745"/>
      <c r="J35" s="745"/>
      <c r="K35" s="740"/>
      <c r="L35" s="740"/>
      <c r="M35" s="740"/>
      <c r="N35" s="740"/>
      <c r="O35" s="740"/>
      <c r="P35" s="740"/>
      <c r="Q35" s="740"/>
      <c r="R35" s="740"/>
      <c r="S35" s="740"/>
      <c r="T35" s="740"/>
      <c r="U35" s="745"/>
      <c r="V35" s="745"/>
      <c r="W35" s="740"/>
      <c r="X35" s="740"/>
      <c r="Y35" s="740"/>
      <c r="Z35" s="740"/>
      <c r="AA35" s="740"/>
      <c r="AB35" s="740"/>
      <c r="AC35" s="740"/>
      <c r="AD35" s="740"/>
      <c r="AE35" s="740"/>
      <c r="AF35" s="740"/>
    </row>
    <row r="36" spans="1:34" s="105" customFormat="1" ht="10.5" customHeight="1"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05" t="s">
        <v>286</v>
      </c>
      <c r="AH36" s="105">
        <f>1001</f>
        <v>1001</v>
      </c>
    </row>
    <row r="37" spans="1:34" s="105" customFormat="1" ht="22.5" customHeight="1">
      <c r="A37" s="748" t="s">
        <v>288</v>
      </c>
      <c r="B37" s="748"/>
      <c r="C37" s="750" t="str">
        <f>C4</f>
        <v>Div. Luftleitschilde</v>
      </c>
      <c r="D37" s="750"/>
      <c r="E37" s="750"/>
      <c r="F37" s="750"/>
      <c r="H37" s="748" t="s">
        <v>324</v>
      </c>
      <c r="I37" s="748"/>
      <c r="J37" s="754">
        <f>J4</f>
        <v>0</v>
      </c>
      <c r="K37" s="754"/>
      <c r="L37" s="754"/>
      <c r="M37" s="754"/>
      <c r="N37" s="754"/>
      <c r="P37" s="748" t="s">
        <v>100</v>
      </c>
      <c r="Q37" s="748"/>
      <c r="R37" s="748"/>
      <c r="S37" s="750">
        <f>S4</f>
        <v>42012</v>
      </c>
      <c r="T37" s="750"/>
      <c r="U37" s="750"/>
      <c r="AG37" s="105" t="s">
        <v>250</v>
      </c>
      <c r="AH37" s="105">
        <f>1000+Menge</f>
        <v>1001</v>
      </c>
    </row>
    <row r="38" spans="1:34" s="105" customFormat="1" ht="22.5" customHeight="1">
      <c r="A38" s="749" t="s">
        <v>287</v>
      </c>
      <c r="B38" s="749"/>
      <c r="C38" s="750" t="str">
        <f>C5</f>
        <v/>
      </c>
      <c r="D38" s="750"/>
      <c r="E38" s="750"/>
      <c r="F38" s="750"/>
      <c r="H38" s="749" t="s">
        <v>332</v>
      </c>
      <c r="I38" s="749"/>
      <c r="J38" s="754" t="str">
        <f>J5</f>
        <v>1 / 1</v>
      </c>
      <c r="K38" s="754"/>
      <c r="L38" s="754"/>
      <c r="M38" s="754"/>
      <c r="N38" s="754"/>
      <c r="P38" s="749" t="s">
        <v>81</v>
      </c>
      <c r="Q38" s="749"/>
      <c r="R38" s="749"/>
      <c r="S38" s="750">
        <f>S5</f>
        <v>42045</v>
      </c>
      <c r="T38" s="750"/>
      <c r="U38" s="750"/>
      <c r="AG38" s="105" t="s">
        <v>249</v>
      </c>
      <c r="AH38" s="105">
        <v>1001</v>
      </c>
    </row>
    <row r="39" spans="1:34" s="105" customFormat="1" ht="10.5" customHeight="1">
      <c r="I39" s="722"/>
      <c r="J39" s="722"/>
      <c r="K39" s="722"/>
      <c r="L39" s="595"/>
      <c r="S39" s="106"/>
    </row>
    <row r="40" spans="1:34" s="16" customFormat="1" ht="22.5" customHeight="1">
      <c r="A40" s="243" t="s">
        <v>534</v>
      </c>
      <c r="B40" s="244"/>
      <c r="C40" s="244"/>
      <c r="D40" s="108"/>
      <c r="E40" s="108"/>
      <c r="F40" s="109"/>
      <c r="G40" s="109"/>
      <c r="H40" s="109"/>
      <c r="I40" s="109"/>
      <c r="J40" s="109"/>
      <c r="K40" s="109"/>
      <c r="L40" s="109"/>
      <c r="M40" s="107"/>
      <c r="N40" s="109"/>
      <c r="O40" s="109"/>
      <c r="P40" s="109"/>
      <c r="Q40" s="109"/>
      <c r="R40" s="109"/>
      <c r="S40" s="109"/>
      <c r="T40" s="109"/>
      <c r="U40" s="109"/>
      <c r="V40" s="109"/>
      <c r="W40" s="604"/>
      <c r="X40" s="109"/>
      <c r="Y40" s="108"/>
      <c r="Z40" s="108"/>
      <c r="AA40" s="108"/>
      <c r="AB40" s="108"/>
      <c r="AC40" s="108"/>
      <c r="AD40" s="108"/>
      <c r="AE40" s="108"/>
      <c r="AF40" s="108"/>
    </row>
    <row r="41" spans="1:34" s="609" customFormat="1" ht="36.75" customHeight="1">
      <c r="A41" s="608" t="s">
        <v>535</v>
      </c>
      <c r="B41" s="834" t="s">
        <v>525</v>
      </c>
      <c r="C41" s="834"/>
      <c r="D41" s="834"/>
      <c r="E41" s="834"/>
      <c r="F41" s="834"/>
      <c r="G41" s="834" t="s">
        <v>528</v>
      </c>
      <c r="H41" s="834"/>
      <c r="I41" s="834"/>
      <c r="J41" s="834"/>
      <c r="K41" s="834"/>
      <c r="L41" s="834" t="s">
        <v>526</v>
      </c>
      <c r="M41" s="834"/>
      <c r="N41" s="834"/>
      <c r="O41" s="834" t="s">
        <v>530</v>
      </c>
      <c r="P41" s="834"/>
      <c r="Q41" s="834"/>
      <c r="R41" s="609" t="s">
        <v>537</v>
      </c>
      <c r="T41" s="834" t="s">
        <v>531</v>
      </c>
      <c r="U41" s="834"/>
      <c r="V41" s="834"/>
      <c r="W41" s="829" t="s">
        <v>558</v>
      </c>
      <c r="X41" s="830"/>
      <c r="Y41" s="830"/>
      <c r="Z41" s="831" t="s">
        <v>533</v>
      </c>
      <c r="AA41" s="832"/>
      <c r="AB41" s="833" t="s">
        <v>536</v>
      </c>
      <c r="AC41" s="830"/>
      <c r="AD41" s="830"/>
      <c r="AE41" s="831" t="s">
        <v>532</v>
      </c>
      <c r="AF41" s="831"/>
    </row>
    <row r="42" spans="1:34" s="34" customFormat="1" ht="21" customHeight="1">
      <c r="A42" s="797">
        <f>Ablauf!A72</f>
        <v>1</v>
      </c>
      <c r="B42" s="800" t="str">
        <f>IF(Ablauf!B72=0,"",Ablauf!B72)</f>
        <v/>
      </c>
      <c r="C42" s="801"/>
      <c r="D42" s="801"/>
      <c r="E42" s="801"/>
      <c r="F42" s="802"/>
      <c r="G42" s="786" t="str">
        <f>IF(Ablauf!D72=0,"",Ablauf!D72)</f>
        <v/>
      </c>
      <c r="H42" s="787"/>
      <c r="I42" s="787"/>
      <c r="J42" s="787"/>
      <c r="K42" s="788"/>
      <c r="L42" s="811" t="str">
        <f>IF(Ablauf!E72=0,"",Ablauf!E72)</f>
        <v/>
      </c>
      <c r="M42" s="812"/>
      <c r="N42" s="813"/>
      <c r="O42" s="811" t="str">
        <f>IF(Ablauf!G72=0,"",Ablauf!G72)</f>
        <v/>
      </c>
      <c r="P42" s="812"/>
      <c r="Q42" s="813"/>
      <c r="R42" s="809" t="s">
        <v>538</v>
      </c>
      <c r="S42" s="810"/>
      <c r="T42" s="795"/>
      <c r="U42" s="796"/>
      <c r="V42" s="796"/>
      <c r="W42" s="820"/>
      <c r="X42" s="821"/>
      <c r="Y42" s="821"/>
      <c r="Z42" s="821"/>
      <c r="AA42" s="821"/>
      <c r="AB42" s="821"/>
      <c r="AC42" s="821"/>
      <c r="AD42" s="821"/>
      <c r="AE42" s="821"/>
      <c r="AF42" s="826"/>
    </row>
    <row r="43" spans="1:34" s="34" customFormat="1" ht="21" customHeight="1">
      <c r="A43" s="798"/>
      <c r="B43" s="803"/>
      <c r="C43" s="804"/>
      <c r="D43" s="804"/>
      <c r="E43" s="804"/>
      <c r="F43" s="805"/>
      <c r="G43" s="789"/>
      <c r="H43" s="790"/>
      <c r="I43" s="790"/>
      <c r="J43" s="790"/>
      <c r="K43" s="791"/>
      <c r="L43" s="814"/>
      <c r="M43" s="815"/>
      <c r="N43" s="816"/>
      <c r="O43" s="814"/>
      <c r="P43" s="815"/>
      <c r="Q43" s="816"/>
      <c r="R43" s="809" t="s">
        <v>529</v>
      </c>
      <c r="S43" s="810"/>
      <c r="T43" s="795"/>
      <c r="U43" s="796"/>
      <c r="V43" s="796"/>
      <c r="W43" s="822"/>
      <c r="X43" s="823"/>
      <c r="Y43" s="823"/>
      <c r="Z43" s="823"/>
      <c r="AA43" s="823"/>
      <c r="AB43" s="823"/>
      <c r="AC43" s="823"/>
      <c r="AD43" s="823"/>
      <c r="AE43" s="823"/>
      <c r="AF43" s="827"/>
    </row>
    <row r="44" spans="1:34" s="34" customFormat="1" ht="21" customHeight="1">
      <c r="A44" s="799"/>
      <c r="B44" s="806"/>
      <c r="C44" s="807"/>
      <c r="D44" s="807"/>
      <c r="E44" s="807"/>
      <c r="F44" s="808"/>
      <c r="G44" s="792"/>
      <c r="H44" s="793"/>
      <c r="I44" s="793"/>
      <c r="J44" s="793"/>
      <c r="K44" s="794"/>
      <c r="L44" s="817"/>
      <c r="M44" s="818"/>
      <c r="N44" s="819"/>
      <c r="O44" s="817"/>
      <c r="P44" s="818"/>
      <c r="Q44" s="819"/>
      <c r="R44" s="809" t="s">
        <v>539</v>
      </c>
      <c r="S44" s="810"/>
      <c r="T44" s="795"/>
      <c r="U44" s="796"/>
      <c r="V44" s="796"/>
      <c r="W44" s="824"/>
      <c r="X44" s="825"/>
      <c r="Y44" s="825"/>
      <c r="Z44" s="825"/>
      <c r="AA44" s="825"/>
      <c r="AB44" s="825"/>
      <c r="AC44" s="825"/>
      <c r="AD44" s="825"/>
      <c r="AE44" s="825"/>
      <c r="AF44" s="828"/>
    </row>
    <row r="45" spans="1:34" s="34" customFormat="1" ht="21" customHeight="1">
      <c r="A45" s="797">
        <f>Ablauf!A73</f>
        <v>2</v>
      </c>
      <c r="B45" s="800" t="str">
        <f>IF(Ablauf!B73=0,"",Ablauf!B73)</f>
        <v/>
      </c>
      <c r="C45" s="801"/>
      <c r="D45" s="801"/>
      <c r="E45" s="801"/>
      <c r="F45" s="802"/>
      <c r="G45" s="786" t="str">
        <f>IF(Ablauf!D73=0,"",Ablauf!D73)</f>
        <v/>
      </c>
      <c r="H45" s="787"/>
      <c r="I45" s="787"/>
      <c r="J45" s="787"/>
      <c r="K45" s="788"/>
      <c r="L45" s="811" t="str">
        <f>IF(Ablauf!E73=0,"",Ablauf!E73)</f>
        <v/>
      </c>
      <c r="M45" s="812"/>
      <c r="N45" s="813"/>
      <c r="O45" s="811" t="str">
        <f>IF(Ablauf!G73=0,"",Ablauf!G73)</f>
        <v/>
      </c>
      <c r="P45" s="812"/>
      <c r="Q45" s="813"/>
      <c r="R45" s="809" t="s">
        <v>540</v>
      </c>
      <c r="S45" s="810"/>
      <c r="T45" s="795"/>
      <c r="U45" s="796"/>
      <c r="V45" s="796"/>
      <c r="W45" s="820"/>
      <c r="X45" s="821"/>
      <c r="Y45" s="821"/>
      <c r="Z45" s="821"/>
      <c r="AA45" s="821"/>
      <c r="AB45" s="821"/>
      <c r="AC45" s="821"/>
      <c r="AD45" s="821"/>
      <c r="AE45" s="821"/>
      <c r="AF45" s="826"/>
    </row>
    <row r="46" spans="1:34" s="34" customFormat="1" ht="21" customHeight="1">
      <c r="A46" s="798"/>
      <c r="B46" s="803"/>
      <c r="C46" s="804"/>
      <c r="D46" s="804"/>
      <c r="E46" s="804"/>
      <c r="F46" s="805"/>
      <c r="G46" s="789"/>
      <c r="H46" s="790"/>
      <c r="I46" s="790"/>
      <c r="J46" s="790"/>
      <c r="K46" s="791"/>
      <c r="L46" s="814"/>
      <c r="M46" s="815"/>
      <c r="N46" s="816"/>
      <c r="O46" s="814"/>
      <c r="P46" s="815"/>
      <c r="Q46" s="816"/>
      <c r="R46" s="809" t="s">
        <v>541</v>
      </c>
      <c r="S46" s="810"/>
      <c r="T46" s="795"/>
      <c r="U46" s="796"/>
      <c r="V46" s="796"/>
      <c r="W46" s="822"/>
      <c r="X46" s="823"/>
      <c r="Y46" s="823"/>
      <c r="Z46" s="823"/>
      <c r="AA46" s="823"/>
      <c r="AB46" s="823"/>
      <c r="AC46" s="823"/>
      <c r="AD46" s="823"/>
      <c r="AE46" s="823"/>
      <c r="AF46" s="827"/>
    </row>
    <row r="47" spans="1:34" s="34" customFormat="1" ht="21" customHeight="1">
      <c r="A47" s="799"/>
      <c r="B47" s="806"/>
      <c r="C47" s="807"/>
      <c r="D47" s="807"/>
      <c r="E47" s="807"/>
      <c r="F47" s="808"/>
      <c r="G47" s="792"/>
      <c r="H47" s="793"/>
      <c r="I47" s="793"/>
      <c r="J47" s="793"/>
      <c r="K47" s="794"/>
      <c r="L47" s="817"/>
      <c r="M47" s="818"/>
      <c r="N47" s="819"/>
      <c r="O47" s="817"/>
      <c r="P47" s="818"/>
      <c r="Q47" s="819"/>
      <c r="R47" s="809" t="s">
        <v>542</v>
      </c>
      <c r="S47" s="810"/>
      <c r="T47" s="795"/>
      <c r="U47" s="796"/>
      <c r="V47" s="796"/>
      <c r="W47" s="824"/>
      <c r="X47" s="825"/>
      <c r="Y47" s="825"/>
      <c r="Z47" s="825"/>
      <c r="AA47" s="825"/>
      <c r="AB47" s="825"/>
      <c r="AC47" s="825"/>
      <c r="AD47" s="825"/>
      <c r="AE47" s="825"/>
      <c r="AF47" s="828"/>
    </row>
    <row r="48" spans="1:34" s="34" customFormat="1" ht="21" customHeight="1">
      <c r="A48" s="797">
        <f>Ablauf!A74</f>
        <v>3</v>
      </c>
      <c r="B48" s="800" t="str">
        <f>IF(Ablauf!B74=0,"",Ablauf!B74)</f>
        <v/>
      </c>
      <c r="C48" s="801"/>
      <c r="D48" s="801"/>
      <c r="E48" s="801"/>
      <c r="F48" s="802"/>
      <c r="G48" s="786" t="str">
        <f>IF(Ablauf!D74=0,"",Ablauf!D74)</f>
        <v/>
      </c>
      <c r="H48" s="787"/>
      <c r="I48" s="787"/>
      <c r="J48" s="787"/>
      <c r="K48" s="788"/>
      <c r="L48" s="811" t="str">
        <f>IF(Ablauf!E74=0,"",Ablauf!E74)</f>
        <v/>
      </c>
      <c r="M48" s="812"/>
      <c r="N48" s="813"/>
      <c r="O48" s="811" t="str">
        <f>IF(Ablauf!G74=0,"",Ablauf!G74)</f>
        <v/>
      </c>
      <c r="P48" s="812"/>
      <c r="Q48" s="813"/>
      <c r="R48" s="809" t="s">
        <v>543</v>
      </c>
      <c r="S48" s="810"/>
      <c r="T48" s="795"/>
      <c r="U48" s="796"/>
      <c r="V48" s="796"/>
      <c r="W48" s="820"/>
      <c r="X48" s="821"/>
      <c r="Y48" s="821"/>
      <c r="Z48" s="821"/>
      <c r="AA48" s="821"/>
      <c r="AB48" s="821"/>
      <c r="AC48" s="821"/>
      <c r="AD48" s="821"/>
      <c r="AE48" s="821"/>
      <c r="AF48" s="826"/>
    </row>
    <row r="49" spans="1:32" s="34" customFormat="1" ht="21" customHeight="1">
      <c r="A49" s="798"/>
      <c r="B49" s="803"/>
      <c r="C49" s="804"/>
      <c r="D49" s="804"/>
      <c r="E49" s="804"/>
      <c r="F49" s="805"/>
      <c r="G49" s="789"/>
      <c r="H49" s="790"/>
      <c r="I49" s="790"/>
      <c r="J49" s="790"/>
      <c r="K49" s="791"/>
      <c r="L49" s="814"/>
      <c r="M49" s="815"/>
      <c r="N49" s="816"/>
      <c r="O49" s="814"/>
      <c r="P49" s="815"/>
      <c r="Q49" s="816"/>
      <c r="R49" s="809" t="s">
        <v>544</v>
      </c>
      <c r="S49" s="810"/>
      <c r="T49" s="795"/>
      <c r="U49" s="796"/>
      <c r="V49" s="796"/>
      <c r="W49" s="822"/>
      <c r="X49" s="823"/>
      <c r="Y49" s="823"/>
      <c r="Z49" s="823"/>
      <c r="AA49" s="823"/>
      <c r="AB49" s="823"/>
      <c r="AC49" s="823"/>
      <c r="AD49" s="823"/>
      <c r="AE49" s="823"/>
      <c r="AF49" s="827"/>
    </row>
    <row r="50" spans="1:32" s="34" customFormat="1" ht="21" customHeight="1">
      <c r="A50" s="799"/>
      <c r="B50" s="806"/>
      <c r="C50" s="807"/>
      <c r="D50" s="807"/>
      <c r="E50" s="807"/>
      <c r="F50" s="808"/>
      <c r="G50" s="792"/>
      <c r="H50" s="793"/>
      <c r="I50" s="793"/>
      <c r="J50" s="793"/>
      <c r="K50" s="794"/>
      <c r="L50" s="817"/>
      <c r="M50" s="818"/>
      <c r="N50" s="819"/>
      <c r="O50" s="817"/>
      <c r="P50" s="818"/>
      <c r="Q50" s="819"/>
      <c r="R50" s="809" t="s">
        <v>545</v>
      </c>
      <c r="S50" s="810"/>
      <c r="T50" s="795"/>
      <c r="U50" s="796"/>
      <c r="V50" s="796"/>
      <c r="W50" s="824"/>
      <c r="X50" s="825"/>
      <c r="Y50" s="825"/>
      <c r="Z50" s="825"/>
      <c r="AA50" s="825"/>
      <c r="AB50" s="825"/>
      <c r="AC50" s="825"/>
      <c r="AD50" s="825"/>
      <c r="AE50" s="825"/>
      <c r="AF50" s="828"/>
    </row>
    <row r="51" spans="1:32" s="34" customFormat="1" ht="21" customHeight="1">
      <c r="A51" s="797">
        <f>Ablauf!A75</f>
        <v>4</v>
      </c>
      <c r="B51" s="800" t="str">
        <f>IF(Ablauf!B75=0,"",Ablauf!B75)</f>
        <v/>
      </c>
      <c r="C51" s="801"/>
      <c r="D51" s="801"/>
      <c r="E51" s="801"/>
      <c r="F51" s="802"/>
      <c r="G51" s="786" t="str">
        <f>IF(Ablauf!D75=0,"",Ablauf!D75)</f>
        <v/>
      </c>
      <c r="H51" s="787"/>
      <c r="I51" s="787"/>
      <c r="J51" s="787"/>
      <c r="K51" s="788"/>
      <c r="L51" s="811" t="str">
        <f>IF(Ablauf!E75=0,"",Ablauf!E75)</f>
        <v/>
      </c>
      <c r="M51" s="812"/>
      <c r="N51" s="813"/>
      <c r="O51" s="811" t="str">
        <f>IF(Ablauf!G75=0,"",Ablauf!G75)</f>
        <v/>
      </c>
      <c r="P51" s="812"/>
      <c r="Q51" s="813"/>
      <c r="R51" s="809" t="s">
        <v>546</v>
      </c>
      <c r="S51" s="810"/>
      <c r="T51" s="795"/>
      <c r="U51" s="796"/>
      <c r="V51" s="796"/>
      <c r="W51" s="820"/>
      <c r="X51" s="821"/>
      <c r="Y51" s="821"/>
      <c r="Z51" s="821"/>
      <c r="AA51" s="821"/>
      <c r="AB51" s="821"/>
      <c r="AC51" s="821"/>
      <c r="AD51" s="821"/>
      <c r="AE51" s="821"/>
      <c r="AF51" s="826"/>
    </row>
    <row r="52" spans="1:32" s="34" customFormat="1" ht="21" customHeight="1">
      <c r="A52" s="798"/>
      <c r="B52" s="803"/>
      <c r="C52" s="804"/>
      <c r="D52" s="804"/>
      <c r="E52" s="804"/>
      <c r="F52" s="805"/>
      <c r="G52" s="789"/>
      <c r="H52" s="790"/>
      <c r="I52" s="790"/>
      <c r="J52" s="790"/>
      <c r="K52" s="791"/>
      <c r="L52" s="814"/>
      <c r="M52" s="815"/>
      <c r="N52" s="816"/>
      <c r="O52" s="814"/>
      <c r="P52" s="815"/>
      <c r="Q52" s="816"/>
      <c r="R52" s="809" t="s">
        <v>547</v>
      </c>
      <c r="S52" s="810"/>
      <c r="T52" s="795"/>
      <c r="U52" s="796"/>
      <c r="V52" s="796"/>
      <c r="W52" s="822"/>
      <c r="X52" s="823"/>
      <c r="Y52" s="823"/>
      <c r="Z52" s="823"/>
      <c r="AA52" s="823"/>
      <c r="AB52" s="823"/>
      <c r="AC52" s="823"/>
      <c r="AD52" s="823"/>
      <c r="AE52" s="823"/>
      <c r="AF52" s="827"/>
    </row>
    <row r="53" spans="1:32" s="34" customFormat="1" ht="21" customHeight="1">
      <c r="A53" s="799"/>
      <c r="B53" s="806"/>
      <c r="C53" s="807"/>
      <c r="D53" s="807"/>
      <c r="E53" s="807"/>
      <c r="F53" s="808"/>
      <c r="G53" s="792"/>
      <c r="H53" s="793"/>
      <c r="I53" s="793"/>
      <c r="J53" s="793"/>
      <c r="K53" s="794"/>
      <c r="L53" s="817"/>
      <c r="M53" s="818"/>
      <c r="N53" s="819"/>
      <c r="O53" s="817"/>
      <c r="P53" s="818"/>
      <c r="Q53" s="819"/>
      <c r="R53" s="809" t="s">
        <v>548</v>
      </c>
      <c r="S53" s="810"/>
      <c r="T53" s="795"/>
      <c r="U53" s="796"/>
      <c r="V53" s="796"/>
      <c r="W53" s="824"/>
      <c r="X53" s="825"/>
      <c r="Y53" s="825"/>
      <c r="Z53" s="825"/>
      <c r="AA53" s="825"/>
      <c r="AB53" s="825"/>
      <c r="AC53" s="825"/>
      <c r="AD53" s="825"/>
      <c r="AE53" s="825"/>
      <c r="AF53" s="828"/>
    </row>
    <row r="54" spans="1:32" s="34" customFormat="1" ht="21" customHeight="1">
      <c r="A54" s="797">
        <f>Ablauf!A76</f>
        <v>5</v>
      </c>
      <c r="B54" s="800" t="str">
        <f>IF(Ablauf!B76=0,"",Ablauf!B76)</f>
        <v/>
      </c>
      <c r="C54" s="801"/>
      <c r="D54" s="801"/>
      <c r="E54" s="801"/>
      <c r="F54" s="802"/>
      <c r="G54" s="786" t="str">
        <f>IF(Ablauf!D76=0,"",Ablauf!D76)</f>
        <v/>
      </c>
      <c r="H54" s="787"/>
      <c r="I54" s="787"/>
      <c r="J54" s="787"/>
      <c r="K54" s="788"/>
      <c r="L54" s="811" t="str">
        <f>IF(Ablauf!E76=0,"",Ablauf!E76)</f>
        <v/>
      </c>
      <c r="M54" s="812"/>
      <c r="N54" s="813"/>
      <c r="O54" s="811" t="str">
        <f>IF(Ablauf!G76=0,"",Ablauf!G76)</f>
        <v/>
      </c>
      <c r="P54" s="812"/>
      <c r="Q54" s="813"/>
      <c r="R54" s="809" t="s">
        <v>549</v>
      </c>
      <c r="S54" s="810"/>
      <c r="T54" s="795"/>
      <c r="U54" s="796"/>
      <c r="V54" s="796"/>
      <c r="W54" s="820"/>
      <c r="X54" s="821"/>
      <c r="Y54" s="821"/>
      <c r="Z54" s="821"/>
      <c r="AA54" s="821"/>
      <c r="AB54" s="821"/>
      <c r="AC54" s="821"/>
      <c r="AD54" s="821"/>
      <c r="AE54" s="821"/>
      <c r="AF54" s="826"/>
    </row>
    <row r="55" spans="1:32" s="34" customFormat="1" ht="21" customHeight="1">
      <c r="A55" s="798"/>
      <c r="B55" s="803"/>
      <c r="C55" s="804"/>
      <c r="D55" s="804"/>
      <c r="E55" s="804"/>
      <c r="F55" s="805"/>
      <c r="G55" s="789"/>
      <c r="H55" s="790"/>
      <c r="I55" s="790"/>
      <c r="J55" s="790"/>
      <c r="K55" s="791"/>
      <c r="L55" s="814"/>
      <c r="M55" s="815"/>
      <c r="N55" s="816"/>
      <c r="O55" s="814"/>
      <c r="P55" s="815"/>
      <c r="Q55" s="816"/>
      <c r="R55" s="809" t="s">
        <v>550</v>
      </c>
      <c r="S55" s="810"/>
      <c r="T55" s="795"/>
      <c r="U55" s="796"/>
      <c r="V55" s="796"/>
      <c r="W55" s="822"/>
      <c r="X55" s="823"/>
      <c r="Y55" s="823"/>
      <c r="Z55" s="823"/>
      <c r="AA55" s="823"/>
      <c r="AB55" s="823"/>
      <c r="AC55" s="823"/>
      <c r="AD55" s="823"/>
      <c r="AE55" s="823"/>
      <c r="AF55" s="827"/>
    </row>
    <row r="56" spans="1:32" s="34" customFormat="1" ht="21" customHeight="1">
      <c r="A56" s="799"/>
      <c r="B56" s="806"/>
      <c r="C56" s="807"/>
      <c r="D56" s="807"/>
      <c r="E56" s="807"/>
      <c r="F56" s="808"/>
      <c r="G56" s="792"/>
      <c r="H56" s="793"/>
      <c r="I56" s="793"/>
      <c r="J56" s="793"/>
      <c r="K56" s="794"/>
      <c r="L56" s="817"/>
      <c r="M56" s="818"/>
      <c r="N56" s="819"/>
      <c r="O56" s="817"/>
      <c r="P56" s="818"/>
      <c r="Q56" s="819"/>
      <c r="R56" s="809" t="s">
        <v>551</v>
      </c>
      <c r="S56" s="810"/>
      <c r="T56" s="795"/>
      <c r="U56" s="796"/>
      <c r="V56" s="796"/>
      <c r="W56" s="824"/>
      <c r="X56" s="825"/>
      <c r="Y56" s="825"/>
      <c r="Z56" s="825"/>
      <c r="AA56" s="825"/>
      <c r="AB56" s="825"/>
      <c r="AC56" s="825"/>
      <c r="AD56" s="825"/>
      <c r="AE56" s="825"/>
      <c r="AF56" s="828"/>
    </row>
    <row r="57" spans="1:32" s="34" customFormat="1" ht="21" customHeight="1">
      <c r="A57" s="797">
        <f>Ablauf!A77</f>
        <v>6</v>
      </c>
      <c r="B57" s="800" t="str">
        <f>IF(Ablauf!B77=0,"",Ablauf!B77)</f>
        <v/>
      </c>
      <c r="C57" s="801"/>
      <c r="D57" s="801"/>
      <c r="E57" s="801"/>
      <c r="F57" s="802"/>
      <c r="G57" s="786" t="str">
        <f>IF(Ablauf!D77=0,"",Ablauf!D77)</f>
        <v/>
      </c>
      <c r="H57" s="787"/>
      <c r="I57" s="787"/>
      <c r="J57" s="787"/>
      <c r="K57" s="788"/>
      <c r="L57" s="811" t="str">
        <f>IF(Ablauf!E77=0,"",Ablauf!E77)</f>
        <v/>
      </c>
      <c r="M57" s="812"/>
      <c r="N57" s="813"/>
      <c r="O57" s="811" t="str">
        <f>IF(Ablauf!G77=0,"",Ablauf!G77)</f>
        <v/>
      </c>
      <c r="P57" s="812"/>
      <c r="Q57" s="813"/>
      <c r="R57" s="809" t="s">
        <v>552</v>
      </c>
      <c r="S57" s="810"/>
      <c r="T57" s="795"/>
      <c r="U57" s="796"/>
      <c r="V57" s="796"/>
      <c r="W57" s="820"/>
      <c r="X57" s="821"/>
      <c r="Y57" s="821"/>
      <c r="Z57" s="821"/>
      <c r="AA57" s="821"/>
      <c r="AB57" s="821"/>
      <c r="AC57" s="821"/>
      <c r="AD57" s="821"/>
      <c r="AE57" s="821"/>
      <c r="AF57" s="826"/>
    </row>
    <row r="58" spans="1:32" s="34" customFormat="1" ht="21" customHeight="1">
      <c r="A58" s="798"/>
      <c r="B58" s="803"/>
      <c r="C58" s="804"/>
      <c r="D58" s="804"/>
      <c r="E58" s="804"/>
      <c r="F58" s="805"/>
      <c r="G58" s="789"/>
      <c r="H58" s="790"/>
      <c r="I58" s="790"/>
      <c r="J58" s="790"/>
      <c r="K58" s="791"/>
      <c r="L58" s="814"/>
      <c r="M58" s="815"/>
      <c r="N58" s="816"/>
      <c r="O58" s="814"/>
      <c r="P58" s="815"/>
      <c r="Q58" s="816"/>
      <c r="R58" s="809" t="s">
        <v>553</v>
      </c>
      <c r="S58" s="810"/>
      <c r="T58" s="795"/>
      <c r="U58" s="796"/>
      <c r="V58" s="796"/>
      <c r="W58" s="822"/>
      <c r="X58" s="823"/>
      <c r="Y58" s="823"/>
      <c r="Z58" s="823"/>
      <c r="AA58" s="823"/>
      <c r="AB58" s="823"/>
      <c r="AC58" s="823"/>
      <c r="AD58" s="823"/>
      <c r="AE58" s="823"/>
      <c r="AF58" s="827"/>
    </row>
    <row r="59" spans="1:32" s="34" customFormat="1" ht="21" customHeight="1">
      <c r="A59" s="799"/>
      <c r="B59" s="806"/>
      <c r="C59" s="807"/>
      <c r="D59" s="807"/>
      <c r="E59" s="807"/>
      <c r="F59" s="808"/>
      <c r="G59" s="792"/>
      <c r="H59" s="793"/>
      <c r="I59" s="793"/>
      <c r="J59" s="793"/>
      <c r="K59" s="794"/>
      <c r="L59" s="817"/>
      <c r="M59" s="818"/>
      <c r="N59" s="819"/>
      <c r="O59" s="817"/>
      <c r="P59" s="818"/>
      <c r="Q59" s="819"/>
      <c r="R59" s="809" t="s">
        <v>554</v>
      </c>
      <c r="S59" s="810"/>
      <c r="T59" s="795"/>
      <c r="U59" s="796"/>
      <c r="V59" s="796"/>
      <c r="W59" s="824"/>
      <c r="X59" s="825"/>
      <c r="Y59" s="825"/>
      <c r="Z59" s="825"/>
      <c r="AA59" s="825"/>
      <c r="AB59" s="825"/>
      <c r="AC59" s="825"/>
      <c r="AD59" s="825"/>
      <c r="AE59" s="825"/>
      <c r="AF59" s="828"/>
    </row>
    <row r="60" spans="1:32" s="34" customFormat="1" ht="21" customHeight="1">
      <c r="A60" s="797">
        <f>Ablauf!A78</f>
        <v>7</v>
      </c>
      <c r="B60" s="800" t="str">
        <f>IF(Ablauf!B78=0,"",Ablauf!B78)</f>
        <v/>
      </c>
      <c r="C60" s="801"/>
      <c r="D60" s="801"/>
      <c r="E60" s="801"/>
      <c r="F60" s="802"/>
      <c r="G60" s="786" t="str">
        <f>IF(Ablauf!D78=0,"",Ablauf!D78)</f>
        <v/>
      </c>
      <c r="H60" s="787"/>
      <c r="I60" s="787"/>
      <c r="J60" s="787"/>
      <c r="K60" s="788"/>
      <c r="L60" s="811" t="str">
        <f>IF(Ablauf!E78=0,"",Ablauf!E78)</f>
        <v/>
      </c>
      <c r="M60" s="812"/>
      <c r="N60" s="813"/>
      <c r="O60" s="811" t="str">
        <f>IF(Ablauf!G78=0,"",Ablauf!G78)</f>
        <v/>
      </c>
      <c r="P60" s="812"/>
      <c r="Q60" s="813"/>
      <c r="R60" s="809" t="s">
        <v>555</v>
      </c>
      <c r="S60" s="810"/>
      <c r="T60" s="795"/>
      <c r="U60" s="796"/>
      <c r="V60" s="796"/>
      <c r="W60" s="820"/>
      <c r="X60" s="821"/>
      <c r="Y60" s="821"/>
      <c r="Z60" s="821"/>
      <c r="AA60" s="821"/>
      <c r="AB60" s="821"/>
      <c r="AC60" s="821"/>
      <c r="AD60" s="821"/>
      <c r="AE60" s="821"/>
      <c r="AF60" s="826"/>
    </row>
    <row r="61" spans="1:32" s="34" customFormat="1" ht="21" customHeight="1">
      <c r="A61" s="798"/>
      <c r="B61" s="803"/>
      <c r="C61" s="804"/>
      <c r="D61" s="804"/>
      <c r="E61" s="804"/>
      <c r="F61" s="805"/>
      <c r="G61" s="789"/>
      <c r="H61" s="790"/>
      <c r="I61" s="790"/>
      <c r="J61" s="790"/>
      <c r="K61" s="791"/>
      <c r="L61" s="814"/>
      <c r="M61" s="815"/>
      <c r="N61" s="816"/>
      <c r="O61" s="814"/>
      <c r="P61" s="815"/>
      <c r="Q61" s="816"/>
      <c r="R61" s="809" t="s">
        <v>556</v>
      </c>
      <c r="S61" s="810"/>
      <c r="T61" s="795"/>
      <c r="U61" s="796"/>
      <c r="V61" s="796"/>
      <c r="W61" s="822"/>
      <c r="X61" s="823"/>
      <c r="Y61" s="823"/>
      <c r="Z61" s="823"/>
      <c r="AA61" s="823"/>
      <c r="AB61" s="823"/>
      <c r="AC61" s="823"/>
      <c r="AD61" s="823"/>
      <c r="AE61" s="823"/>
      <c r="AF61" s="827"/>
    </row>
    <row r="62" spans="1:32" s="17" customFormat="1" ht="21" customHeight="1">
      <c r="A62" s="799"/>
      <c r="B62" s="806"/>
      <c r="C62" s="807"/>
      <c r="D62" s="807"/>
      <c r="E62" s="807"/>
      <c r="F62" s="808"/>
      <c r="G62" s="792"/>
      <c r="H62" s="793"/>
      <c r="I62" s="793"/>
      <c r="J62" s="793"/>
      <c r="K62" s="794"/>
      <c r="L62" s="817"/>
      <c r="M62" s="818"/>
      <c r="N62" s="819"/>
      <c r="O62" s="817"/>
      <c r="P62" s="818"/>
      <c r="Q62" s="819"/>
      <c r="R62" s="809" t="s">
        <v>557</v>
      </c>
      <c r="S62" s="810"/>
      <c r="T62" s="795"/>
      <c r="U62" s="796"/>
      <c r="V62" s="796"/>
      <c r="W62" s="824"/>
      <c r="X62" s="825"/>
      <c r="Y62" s="825"/>
      <c r="Z62" s="825"/>
      <c r="AA62" s="825"/>
      <c r="AB62" s="825"/>
      <c r="AC62" s="825"/>
      <c r="AD62" s="825"/>
      <c r="AE62" s="825"/>
      <c r="AF62" s="828"/>
    </row>
    <row r="63" spans="1:32" s="16" customFormat="1" ht="8.25" customHeight="1" thickBot="1">
      <c r="A63" s="596"/>
      <c r="B63" s="596"/>
      <c r="C63" s="596"/>
      <c r="D63" s="596"/>
      <c r="E63" s="596"/>
      <c r="F63" s="596"/>
      <c r="G63" s="596"/>
      <c r="H63" s="596"/>
      <c r="I63" s="596"/>
      <c r="J63" s="596"/>
      <c r="M63" s="600"/>
      <c r="N63" s="600"/>
      <c r="O63" s="601"/>
      <c r="P63" s="602"/>
      <c r="Q63" s="603"/>
      <c r="R63" s="603"/>
      <c r="S63" s="603"/>
      <c r="T63" s="600"/>
    </row>
    <row r="64" spans="1:32" s="140" customFormat="1" ht="18.75" customHeight="1" thickBot="1">
      <c r="A64" s="782" t="s">
        <v>83</v>
      </c>
      <c r="B64" s="783"/>
      <c r="C64" s="781" t="str">
        <f>C33</f>
        <v>V 0.1</v>
      </c>
      <c r="D64" s="781"/>
      <c r="E64" s="187"/>
      <c r="F64" s="784" t="s">
        <v>294</v>
      </c>
      <c r="G64" s="784"/>
      <c r="H64" s="781" t="s">
        <v>84</v>
      </c>
      <c r="I64" s="781"/>
      <c r="J64" s="784" t="s">
        <v>295</v>
      </c>
      <c r="K64" s="784"/>
      <c r="L64" s="781" t="s">
        <v>298</v>
      </c>
      <c r="M64" s="781"/>
      <c r="N64" s="784" t="s">
        <v>296</v>
      </c>
      <c r="O64" s="784"/>
      <c r="P64" s="781" t="s">
        <v>297</v>
      </c>
      <c r="Q64" s="781"/>
      <c r="R64" s="781"/>
      <c r="S64" s="594"/>
      <c r="T64" s="594"/>
      <c r="U64" s="594"/>
      <c r="V64" s="720" t="str">
        <f>V33</f>
        <v>Ò0$H-!&gt;' f@Ó</v>
      </c>
      <c r="W64" s="720"/>
      <c r="X64" s="720"/>
      <c r="Y64" s="720"/>
      <c r="Z64" s="720"/>
      <c r="AA64" s="720"/>
      <c r="AB64" s="720"/>
      <c r="AC64" s="720"/>
      <c r="AD64" s="720"/>
      <c r="AE64" s="720"/>
      <c r="AF64" s="721"/>
    </row>
    <row r="65" spans="1:10" s="16" customFormat="1" ht="14.25" customHeight="1">
      <c r="A65" s="596"/>
      <c r="B65" s="596"/>
      <c r="C65" s="596"/>
      <c r="D65" s="596"/>
      <c r="E65" s="596"/>
      <c r="F65" s="596"/>
      <c r="G65" s="596"/>
      <c r="H65" s="596"/>
      <c r="I65" s="596"/>
      <c r="J65" s="596"/>
    </row>
    <row r="66" spans="1:10" s="16" customFormat="1" ht="14.25" customHeight="1"/>
    <row r="67" spans="1:10" s="16" customFormat="1" ht="14.25" customHeight="1"/>
    <row r="68" spans="1:10" s="16" customFormat="1" ht="14.25" customHeight="1"/>
    <row r="69" spans="1:10" s="16" customFormat="1" ht="14.25" customHeight="1"/>
    <row r="70" spans="1:10" s="16" customFormat="1" ht="14.25" customHeight="1"/>
    <row r="71" spans="1:10" s="16" customFormat="1" ht="14.25" customHeight="1"/>
    <row r="72" spans="1:10" s="16" customFormat="1" ht="14.25" customHeight="1"/>
    <row r="73" spans="1:10" s="16" customFormat="1" ht="14.25" customHeight="1"/>
    <row r="74" spans="1:10" s="16" customFormat="1" ht="14.25" customHeight="1"/>
    <row r="75" spans="1:10" s="16" customFormat="1" ht="14.25" customHeight="1"/>
    <row r="76" spans="1:10" ht="14.25" customHeight="1">
      <c r="A76" s="31"/>
      <c r="B76" s="25"/>
      <c r="C76" s="31"/>
      <c r="D76" s="32"/>
      <c r="E76" s="33"/>
    </row>
    <row r="77" spans="1:10" ht="14.25" customHeight="1">
      <c r="A77" s="1"/>
      <c r="B77" s="1"/>
      <c r="C77" s="1"/>
      <c r="D77" s="1"/>
      <c r="E77" s="27"/>
    </row>
    <row r="78" spans="1:10" ht="14.25" customHeight="1">
      <c r="A78" s="1"/>
      <c r="B78" s="1"/>
      <c r="C78" s="1"/>
      <c r="D78" s="1"/>
      <c r="E78" s="27"/>
    </row>
    <row r="79" spans="1:10" ht="14.25" customHeight="1">
      <c r="A79" s="1"/>
      <c r="B79" s="1"/>
      <c r="C79" s="1"/>
      <c r="D79" s="1"/>
      <c r="E79" s="27"/>
    </row>
    <row r="80" spans="1:10" ht="14.25" customHeight="1">
      <c r="A80" s="1"/>
      <c r="B80" s="1"/>
      <c r="C80" s="1"/>
      <c r="D80" s="1"/>
      <c r="E80" s="27"/>
    </row>
    <row r="81" spans="1:5" ht="14.25" customHeight="1">
      <c r="A81" s="1"/>
      <c r="B81" s="1"/>
      <c r="C81" s="1"/>
      <c r="D81" s="1"/>
      <c r="E81" s="27"/>
    </row>
    <row r="82" spans="1:5" ht="14.25" customHeight="1">
      <c r="A82" s="1"/>
      <c r="B82" s="1"/>
      <c r="C82" s="1"/>
      <c r="D82" s="1"/>
      <c r="E82" s="27"/>
    </row>
    <row r="83" spans="1:5" ht="14.25" customHeight="1">
      <c r="A83" s="1"/>
      <c r="B83" s="1"/>
      <c r="C83" s="1"/>
      <c r="D83" s="1"/>
      <c r="E83" s="27"/>
    </row>
    <row r="84" spans="1:5" ht="14.25" customHeight="1">
      <c r="A84" s="1"/>
      <c r="B84" s="1"/>
      <c r="C84" s="1"/>
      <c r="D84" s="1"/>
      <c r="E84" s="27"/>
    </row>
    <row r="85" spans="1:5" ht="14.25" customHeight="1">
      <c r="A85" s="1"/>
      <c r="B85" s="1"/>
      <c r="C85" s="1"/>
      <c r="D85" s="1"/>
      <c r="E85" s="27"/>
    </row>
    <row r="86" spans="1:5" ht="14.25" customHeight="1">
      <c r="A86" s="1"/>
      <c r="B86" s="1"/>
      <c r="C86" s="1"/>
      <c r="D86" s="1"/>
      <c r="E86" s="27"/>
    </row>
    <row r="87" spans="1:5" ht="14.25" customHeight="1">
      <c r="A87" s="1"/>
      <c r="B87" s="1"/>
      <c r="C87" s="1"/>
      <c r="D87" s="1"/>
      <c r="E87" s="27"/>
    </row>
    <row r="88" spans="1:5" ht="14.25" customHeight="1">
      <c r="A88" s="1"/>
      <c r="B88" s="1"/>
      <c r="C88" s="1"/>
      <c r="D88" s="1"/>
      <c r="E88" s="27"/>
    </row>
    <row r="89" spans="1:5" ht="14.25" customHeight="1">
      <c r="A89" s="1"/>
      <c r="B89" s="1"/>
      <c r="C89" s="1"/>
      <c r="D89" s="1"/>
      <c r="E89" s="27"/>
    </row>
    <row r="90" spans="1:5" ht="14.25" customHeight="1">
      <c r="A90" s="1"/>
      <c r="B90" s="1"/>
      <c r="C90" s="1"/>
      <c r="D90" s="1"/>
      <c r="E90" s="27"/>
    </row>
    <row r="91" spans="1:5" ht="14.25" customHeight="1">
      <c r="A91" s="1"/>
      <c r="B91" s="1"/>
      <c r="C91" s="1"/>
      <c r="D91" s="1"/>
      <c r="E91" s="27"/>
    </row>
    <row r="92" spans="1:5" ht="14.25" customHeight="1">
      <c r="A92" s="1"/>
      <c r="B92" s="1"/>
      <c r="C92" s="1"/>
      <c r="D92" s="1"/>
      <c r="E92" s="27"/>
    </row>
    <row r="93" spans="1:5" ht="14.25" customHeight="1">
      <c r="A93" s="1"/>
      <c r="B93" s="1"/>
      <c r="C93" s="1"/>
      <c r="D93" s="1"/>
      <c r="E93" s="27"/>
    </row>
    <row r="94" spans="1:5" ht="14.25" customHeight="1">
      <c r="A94" s="1"/>
      <c r="B94" s="1"/>
      <c r="C94" s="1"/>
      <c r="D94" s="1"/>
      <c r="E94" s="27"/>
    </row>
    <row r="95" spans="1:5" ht="14.25" customHeight="1">
      <c r="A95" s="1"/>
      <c r="B95" s="1"/>
      <c r="C95" s="1"/>
      <c r="D95" s="1"/>
      <c r="E95" s="27"/>
    </row>
    <row r="96" spans="1:5" ht="14.25" customHeight="1">
      <c r="A96" s="1"/>
      <c r="B96" s="1"/>
      <c r="C96" s="1"/>
      <c r="D96" s="1"/>
      <c r="E96" s="27"/>
    </row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</sheetData>
  <sheetProtection selectLockedCells="1"/>
  <mergeCells count="251">
    <mergeCell ref="P64:R64"/>
    <mergeCell ref="V64:AF64"/>
    <mergeCell ref="W41:Y41"/>
    <mergeCell ref="Z41:AA41"/>
    <mergeCell ref="AB41:AD41"/>
    <mergeCell ref="AE41:AF41"/>
    <mergeCell ref="L41:N41"/>
    <mergeCell ref="G41:K41"/>
    <mergeCell ref="B41:F41"/>
    <mergeCell ref="A64:B64"/>
    <mergeCell ref="C64:D64"/>
    <mergeCell ref="F64:G64"/>
    <mergeCell ref="H64:I64"/>
    <mergeCell ref="J64:K64"/>
    <mergeCell ref="L64:M64"/>
    <mergeCell ref="N64:O64"/>
    <mergeCell ref="W54:AA56"/>
    <mergeCell ref="AB54:AF56"/>
    <mergeCell ref="W57:AA59"/>
    <mergeCell ref="AB57:AF59"/>
    <mergeCell ref="W60:AA62"/>
    <mergeCell ref="AB60:AF62"/>
    <mergeCell ref="T41:V41"/>
    <mergeCell ref="O41:Q41"/>
    <mergeCell ref="W42:AA44"/>
    <mergeCell ref="AB42:AF44"/>
    <mergeCell ref="W45:AA47"/>
    <mergeCell ref="AB45:AF47"/>
    <mergeCell ref="W48:AA50"/>
    <mergeCell ref="AB48:AF50"/>
    <mergeCell ref="W51:AA53"/>
    <mergeCell ref="AB51:AF53"/>
    <mergeCell ref="T58:V58"/>
    <mergeCell ref="T55:V55"/>
    <mergeCell ref="T56:V56"/>
    <mergeCell ref="T57:V57"/>
    <mergeCell ref="T59:V59"/>
    <mergeCell ref="T60:V60"/>
    <mergeCell ref="T61:V61"/>
    <mergeCell ref="T62:V62"/>
    <mergeCell ref="L42:N44"/>
    <mergeCell ref="L45:N47"/>
    <mergeCell ref="L48:N50"/>
    <mergeCell ref="L51:N53"/>
    <mergeCell ref="L54:N56"/>
    <mergeCell ref="L57:N59"/>
    <mergeCell ref="L60:N62"/>
    <mergeCell ref="O42:Q44"/>
    <mergeCell ref="O45:Q47"/>
    <mergeCell ref="O48:Q50"/>
    <mergeCell ref="O51:Q53"/>
    <mergeCell ref="O54:Q56"/>
    <mergeCell ref="O57:Q59"/>
    <mergeCell ref="O60:Q62"/>
    <mergeCell ref="T49:V49"/>
    <mergeCell ref="T50:V50"/>
    <mergeCell ref="T51:V51"/>
    <mergeCell ref="T52:V52"/>
    <mergeCell ref="T53:V53"/>
    <mergeCell ref="T54:V54"/>
    <mergeCell ref="G54:K56"/>
    <mergeCell ref="G57:K59"/>
    <mergeCell ref="G60:K62"/>
    <mergeCell ref="R42:S42"/>
    <mergeCell ref="R43:S43"/>
    <mergeCell ref="R44:S44"/>
    <mergeCell ref="R45:S45"/>
    <mergeCell ref="R46:S46"/>
    <mergeCell ref="R47:S47"/>
    <mergeCell ref="R48:S48"/>
    <mergeCell ref="R49:S49"/>
    <mergeCell ref="R50:S50"/>
    <mergeCell ref="R51:S51"/>
    <mergeCell ref="R52:S52"/>
    <mergeCell ref="R53:S53"/>
    <mergeCell ref="R54:S54"/>
    <mergeCell ref="R55:S55"/>
    <mergeCell ref="R56:S56"/>
    <mergeCell ref="R57:S57"/>
    <mergeCell ref="R58:S58"/>
    <mergeCell ref="R59:S59"/>
    <mergeCell ref="R60:S60"/>
    <mergeCell ref="R61:S61"/>
    <mergeCell ref="R62:S62"/>
    <mergeCell ref="A54:A56"/>
    <mergeCell ref="A57:A59"/>
    <mergeCell ref="A60:A62"/>
    <mergeCell ref="B42:F44"/>
    <mergeCell ref="B45:F47"/>
    <mergeCell ref="B48:F50"/>
    <mergeCell ref="B51:F53"/>
    <mergeCell ref="B54:F56"/>
    <mergeCell ref="B57:F59"/>
    <mergeCell ref="B60:F62"/>
    <mergeCell ref="A42:A44"/>
    <mergeCell ref="A45:A47"/>
    <mergeCell ref="A48:A50"/>
    <mergeCell ref="A51:A53"/>
    <mergeCell ref="G42:K44"/>
    <mergeCell ref="G45:K47"/>
    <mergeCell ref="G48:K50"/>
    <mergeCell ref="G51:K53"/>
    <mergeCell ref="T42:V42"/>
    <mergeCell ref="T43:V43"/>
    <mergeCell ref="T44:V44"/>
    <mergeCell ref="T45:V45"/>
    <mergeCell ref="T46:V46"/>
    <mergeCell ref="T47:V47"/>
    <mergeCell ref="T48:V48"/>
    <mergeCell ref="A38:B38"/>
    <mergeCell ref="C38:F38"/>
    <mergeCell ref="H38:I38"/>
    <mergeCell ref="J38:N38"/>
    <mergeCell ref="P38:R38"/>
    <mergeCell ref="S38:U38"/>
    <mergeCell ref="I39:K39"/>
    <mergeCell ref="A34:H35"/>
    <mergeCell ref="I34:J35"/>
    <mergeCell ref="K34:T35"/>
    <mergeCell ref="U34:V35"/>
    <mergeCell ref="W34:AF35"/>
    <mergeCell ref="A37:B37"/>
    <mergeCell ref="C37:F37"/>
    <mergeCell ref="H37:I37"/>
    <mergeCell ref="J37:N37"/>
    <mergeCell ref="P37:R37"/>
    <mergeCell ref="S37:U37"/>
    <mergeCell ref="F31:L31"/>
    <mergeCell ref="D31:E31"/>
    <mergeCell ref="P33:R33"/>
    <mergeCell ref="A33:B33"/>
    <mergeCell ref="C33:D33"/>
    <mergeCell ref="F33:G33"/>
    <mergeCell ref="H33:I33"/>
    <mergeCell ref="J33:K33"/>
    <mergeCell ref="L33:M33"/>
    <mergeCell ref="N33:O33"/>
    <mergeCell ref="B31:C31"/>
    <mergeCell ref="U31:AF31"/>
    <mergeCell ref="B23:C23"/>
    <mergeCell ref="B24:C24"/>
    <mergeCell ref="B26:C26"/>
    <mergeCell ref="M29:N29"/>
    <mergeCell ref="D30:E30"/>
    <mergeCell ref="B27:C27"/>
    <mergeCell ref="B25:C25"/>
    <mergeCell ref="D25:E25"/>
    <mergeCell ref="F28:L28"/>
    <mergeCell ref="D29:E29"/>
    <mergeCell ref="D28:E28"/>
    <mergeCell ref="M30:N30"/>
    <mergeCell ref="B28:C28"/>
    <mergeCell ref="B29:C29"/>
    <mergeCell ref="B30:C30"/>
    <mergeCell ref="F29:L29"/>
    <mergeCell ref="F30:L30"/>
    <mergeCell ref="U24:AF24"/>
    <mergeCell ref="O25:T25"/>
    <mergeCell ref="U25:AF25"/>
    <mergeCell ref="D22:E22"/>
    <mergeCell ref="D23:E23"/>
    <mergeCell ref="D24:E24"/>
    <mergeCell ref="D26:E26"/>
    <mergeCell ref="D27:E27"/>
    <mergeCell ref="O22:T22"/>
    <mergeCell ref="F27:L27"/>
    <mergeCell ref="O28:T28"/>
    <mergeCell ref="U28:AF28"/>
    <mergeCell ref="O29:T29"/>
    <mergeCell ref="U29:AF29"/>
    <mergeCell ref="O30:T30"/>
    <mergeCell ref="U30:AF30"/>
    <mergeCell ref="O31:T31"/>
    <mergeCell ref="M26:N26"/>
    <mergeCell ref="M28:N28"/>
    <mergeCell ref="M27:N27"/>
    <mergeCell ref="O27:T27"/>
    <mergeCell ref="U27:AF27"/>
    <mergeCell ref="M31:N31"/>
    <mergeCell ref="K14:O14"/>
    <mergeCell ref="S5:U5"/>
    <mergeCell ref="J5:N5"/>
    <mergeCell ref="Q14:AF16"/>
    <mergeCell ref="O26:T26"/>
    <mergeCell ref="U26:AF26"/>
    <mergeCell ref="H4:I4"/>
    <mergeCell ref="H5:I5"/>
    <mergeCell ref="J4:N4"/>
    <mergeCell ref="U21:AF21"/>
    <mergeCell ref="U22:AF22"/>
    <mergeCell ref="O20:T20"/>
    <mergeCell ref="F23:L23"/>
    <mergeCell ref="F24:L24"/>
    <mergeCell ref="U19:X19"/>
    <mergeCell ref="M20:N20"/>
    <mergeCell ref="M21:N21"/>
    <mergeCell ref="M22:N22"/>
    <mergeCell ref="M23:N23"/>
    <mergeCell ref="M24:N24"/>
    <mergeCell ref="F26:L26"/>
    <mergeCell ref="O23:T23"/>
    <mergeCell ref="U23:AF23"/>
    <mergeCell ref="O24:T24"/>
    <mergeCell ref="W1:AF2"/>
    <mergeCell ref="K1:T2"/>
    <mergeCell ref="O19:T19"/>
    <mergeCell ref="M19:N19"/>
    <mergeCell ref="F25:L25"/>
    <mergeCell ref="M25:N25"/>
    <mergeCell ref="Y19:AF19"/>
    <mergeCell ref="F20:L20"/>
    <mergeCell ref="F21:L21"/>
    <mergeCell ref="F22:L22"/>
    <mergeCell ref="I8:L8"/>
    <mergeCell ref="AC8:AF8"/>
    <mergeCell ref="E8:H8"/>
    <mergeCell ref="I1:J2"/>
    <mergeCell ref="U1:V2"/>
    <mergeCell ref="A1:H2"/>
    <mergeCell ref="P4:R4"/>
    <mergeCell ref="P5:R5"/>
    <mergeCell ref="A5:B5"/>
    <mergeCell ref="A4:B4"/>
    <mergeCell ref="C4:F4"/>
    <mergeCell ref="C5:F5"/>
    <mergeCell ref="S4:U4"/>
    <mergeCell ref="O21:T21"/>
    <mergeCell ref="A8:D8"/>
    <mergeCell ref="Q8:T8"/>
    <mergeCell ref="U8:X8"/>
    <mergeCell ref="M8:P8"/>
    <mergeCell ref="V33:AF33"/>
    <mergeCell ref="I6:K6"/>
    <mergeCell ref="A12:D12"/>
    <mergeCell ref="Q12:T12"/>
    <mergeCell ref="E12:O12"/>
    <mergeCell ref="Y8:AB8"/>
    <mergeCell ref="B19:C19"/>
    <mergeCell ref="D19:E19"/>
    <mergeCell ref="D20:E20"/>
    <mergeCell ref="E16:H16"/>
    <mergeCell ref="B20:C20"/>
    <mergeCell ref="B21:C21"/>
    <mergeCell ref="B22:C22"/>
    <mergeCell ref="D21:E21"/>
    <mergeCell ref="U20:AF20"/>
    <mergeCell ref="I16:K16"/>
    <mergeCell ref="L16:O16"/>
    <mergeCell ref="E14:H14"/>
    <mergeCell ref="I14:J14"/>
    <mergeCell ref="A16:D16"/>
  </mergeCells>
  <phoneticPr fontId="0" type="noConversion"/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77" orientation="landscape" r:id="rId1"/>
  <headerFooter alignWithMargins="0"/>
  <rowBreaks count="1" manualBreakCount="1">
    <brk id="33" max="32" man="1"/>
  </rowBreaks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print="0" autoFill="0" autoLine="0" r:id="rId5">
            <anchor moveWithCells="1">
              <from>
                <xdr:col>22</xdr:col>
                <xdr:colOff>9525</xdr:colOff>
                <xdr:row>3</xdr:row>
                <xdr:rowOff>0</xdr:rowOff>
              </from>
              <to>
                <xdr:col>31</xdr:col>
                <xdr:colOff>295275</xdr:colOff>
                <xdr:row>5</xdr:row>
                <xdr:rowOff>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W194"/>
  <sheetViews>
    <sheetView workbookViewId="0">
      <selection activeCell="C3" sqref="C3"/>
    </sheetView>
  </sheetViews>
  <sheetFormatPr baseColWidth="10" defaultRowHeight="12.75" outlineLevelRow="1"/>
  <cols>
    <col min="1" max="2" width="4.140625" style="2" customWidth="1"/>
    <col min="3" max="3" width="26.140625" style="2" customWidth="1"/>
    <col min="4" max="6" width="11.7109375" customWidth="1"/>
    <col min="7" max="15" width="11.7109375" style="2" customWidth="1"/>
    <col min="16" max="16" width="14.140625" style="2" customWidth="1"/>
    <col min="17" max="17" width="13.28515625" style="2" customWidth="1"/>
    <col min="18" max="18" width="14.140625" style="2" customWidth="1"/>
    <col min="19" max="19" width="31.7109375" style="2" customWidth="1"/>
    <col min="20" max="20" width="10.140625" style="2" customWidth="1"/>
    <col min="21" max="22" width="10.140625" customWidth="1"/>
  </cols>
  <sheetData>
    <row r="1" spans="1:23" s="61" customFormat="1" ht="18">
      <c r="A1" s="835" t="s">
        <v>189</v>
      </c>
      <c r="B1" s="835"/>
      <c r="C1" s="835"/>
      <c r="D1" s="835"/>
      <c r="E1" s="835"/>
      <c r="F1" s="835"/>
      <c r="G1" s="835"/>
      <c r="H1" s="835"/>
      <c r="I1" s="835"/>
      <c r="J1" s="59"/>
      <c r="K1" s="59"/>
      <c r="L1" s="59"/>
      <c r="M1" s="59"/>
      <c r="N1" s="59"/>
      <c r="O1" s="59"/>
      <c r="P1" s="59"/>
      <c r="Q1" s="59"/>
      <c r="R1" s="59"/>
      <c r="S1" s="59"/>
      <c r="T1" s="60"/>
    </row>
    <row r="2" spans="1:23" ht="15.75" customHeight="1">
      <c r="A2" s="8"/>
      <c r="B2" s="8"/>
      <c r="C2" s="86" t="s">
        <v>190</v>
      </c>
      <c r="D2" s="839" t="s">
        <v>12</v>
      </c>
      <c r="E2" s="840"/>
      <c r="F2" s="840"/>
      <c r="G2" s="840"/>
      <c r="H2" s="838" t="s">
        <v>319</v>
      </c>
      <c r="I2" s="840" t="s">
        <v>41</v>
      </c>
      <c r="J2" s="839" t="s">
        <v>14</v>
      </c>
      <c r="K2" s="840"/>
      <c r="L2" s="840"/>
      <c r="M2" s="840"/>
      <c r="N2" s="840"/>
      <c r="O2" s="839" t="s">
        <v>27</v>
      </c>
      <c r="P2" s="840"/>
      <c r="Q2" s="841" t="s">
        <v>13</v>
      </c>
      <c r="R2" s="842"/>
      <c r="S2" s="841" t="s">
        <v>54</v>
      </c>
      <c r="T2" s="100"/>
      <c r="U2" s="1"/>
    </row>
    <row r="3" spans="1:23" ht="15" customHeight="1">
      <c r="A3" s="8"/>
      <c r="B3" s="8"/>
      <c r="C3" s="276">
        <v>35</v>
      </c>
      <c r="D3" s="839"/>
      <c r="E3" s="840"/>
      <c r="F3" s="840"/>
      <c r="G3" s="840"/>
      <c r="H3" s="838"/>
      <c r="I3" s="840"/>
      <c r="J3" s="839"/>
      <c r="K3" s="840"/>
      <c r="L3" s="840"/>
      <c r="M3" s="840"/>
      <c r="N3" s="840"/>
      <c r="O3" s="839"/>
      <c r="P3" s="840"/>
      <c r="Q3" s="841"/>
      <c r="R3" s="842"/>
      <c r="S3" s="841"/>
      <c r="T3" s="100"/>
      <c r="U3" s="1"/>
    </row>
    <row r="4" spans="1:23" ht="14.25">
      <c r="A4" s="63" t="s">
        <v>202</v>
      </c>
      <c r="B4" s="63" t="s">
        <v>274</v>
      </c>
      <c r="C4" s="87"/>
      <c r="D4" s="91" t="s">
        <v>3</v>
      </c>
      <c r="E4" s="19" t="s">
        <v>5</v>
      </c>
      <c r="F4" s="20" t="s">
        <v>4</v>
      </c>
      <c r="G4" s="18" t="s">
        <v>11</v>
      </c>
      <c r="H4" s="277"/>
      <c r="I4" s="21"/>
      <c r="J4" s="95" t="s">
        <v>21</v>
      </c>
      <c r="K4" s="85" t="s">
        <v>16</v>
      </c>
      <c r="L4" s="85" t="s">
        <v>15</v>
      </c>
      <c r="M4" s="51" t="s">
        <v>196</v>
      </c>
      <c r="N4" s="51" t="s">
        <v>236</v>
      </c>
      <c r="O4" s="95" t="s">
        <v>42</v>
      </c>
      <c r="P4" s="51" t="s">
        <v>43</v>
      </c>
      <c r="Q4" s="104" t="s">
        <v>238</v>
      </c>
      <c r="R4" s="51" t="s">
        <v>28</v>
      </c>
      <c r="S4" s="95" t="s">
        <v>55</v>
      </c>
      <c r="T4" s="94"/>
      <c r="U4" s="52" t="s">
        <v>195</v>
      </c>
      <c r="V4" s="52" t="s">
        <v>197</v>
      </c>
      <c r="W4" s="52" t="s">
        <v>198</v>
      </c>
    </row>
    <row r="5" spans="1:23" s="103" customFormat="1">
      <c r="A5" s="64">
        <v>1</v>
      </c>
      <c r="B5" s="64">
        <v>2</v>
      </c>
      <c r="C5" s="88">
        <f t="shared" ref="C5:S5" si="0">B5+1</f>
        <v>3</v>
      </c>
      <c r="D5" s="92">
        <f t="shared" si="0"/>
        <v>4</v>
      </c>
      <c r="E5" s="65">
        <f t="shared" si="0"/>
        <v>5</v>
      </c>
      <c r="F5" s="64">
        <f t="shared" si="0"/>
        <v>6</v>
      </c>
      <c r="G5" s="65">
        <f t="shared" si="0"/>
        <v>7</v>
      </c>
      <c r="H5" s="278">
        <f t="shared" si="0"/>
        <v>8</v>
      </c>
      <c r="I5" s="64">
        <f t="shared" si="0"/>
        <v>9</v>
      </c>
      <c r="J5" s="88">
        <f t="shared" si="0"/>
        <v>10</v>
      </c>
      <c r="K5" s="64">
        <f t="shared" si="0"/>
        <v>11</v>
      </c>
      <c r="L5" s="65">
        <f t="shared" si="0"/>
        <v>12</v>
      </c>
      <c r="M5" s="65">
        <f t="shared" si="0"/>
        <v>13</v>
      </c>
      <c r="N5" s="64">
        <f t="shared" si="0"/>
        <v>14</v>
      </c>
      <c r="O5" s="92">
        <f t="shared" si="0"/>
        <v>15</v>
      </c>
      <c r="P5" s="65">
        <f t="shared" si="0"/>
        <v>16</v>
      </c>
      <c r="Q5" s="92">
        <f t="shared" si="0"/>
        <v>17</v>
      </c>
      <c r="R5" s="65">
        <f t="shared" si="0"/>
        <v>18</v>
      </c>
      <c r="S5" s="92">
        <f t="shared" si="0"/>
        <v>19</v>
      </c>
      <c r="T5" s="102"/>
      <c r="U5" s="65"/>
      <c r="V5" s="65"/>
      <c r="W5" s="65"/>
    </row>
    <row r="6" spans="1:23" s="58" customFormat="1" ht="14.25">
      <c r="A6" s="54"/>
      <c r="B6" s="54"/>
      <c r="C6" s="89"/>
      <c r="D6" s="93"/>
      <c r="E6" s="55"/>
      <c r="F6" s="55"/>
      <c r="G6" s="55"/>
      <c r="H6" s="277"/>
      <c r="I6" s="56"/>
      <c r="J6" s="89"/>
      <c r="K6" s="79"/>
      <c r="L6" s="79"/>
      <c r="M6" s="79"/>
      <c r="N6" s="79"/>
      <c r="O6" s="93"/>
      <c r="P6" s="55"/>
      <c r="Q6" s="97"/>
      <c r="R6" s="57"/>
      <c r="S6" s="97"/>
      <c r="T6" s="101"/>
      <c r="U6" s="192"/>
      <c r="V6" s="192"/>
      <c r="W6" s="192"/>
    </row>
    <row r="7" spans="1:23" s="58" customFormat="1" ht="14.25">
      <c r="A7" s="54"/>
      <c r="B7" s="54"/>
      <c r="C7" s="89"/>
      <c r="D7" s="93"/>
      <c r="E7" s="55"/>
      <c r="F7" s="55"/>
      <c r="G7" s="55"/>
      <c r="H7" s="277"/>
      <c r="I7" s="56"/>
      <c r="J7" s="89"/>
      <c r="K7" s="79"/>
      <c r="L7" s="79"/>
      <c r="M7" s="79"/>
      <c r="N7" s="79"/>
      <c r="O7" s="93"/>
      <c r="P7" s="55"/>
      <c r="Q7" s="97"/>
      <c r="R7" s="57"/>
      <c r="S7" s="97"/>
      <c r="T7" s="101"/>
      <c r="U7" s="192"/>
      <c r="V7" s="192"/>
      <c r="W7" s="192"/>
    </row>
    <row r="8" spans="1:23" s="58" customFormat="1" ht="14.25">
      <c r="A8" s="54"/>
      <c r="B8" s="54"/>
      <c r="C8" s="89"/>
      <c r="D8" s="93"/>
      <c r="E8" s="55"/>
      <c r="F8" s="55"/>
      <c r="G8" s="55"/>
      <c r="H8" s="277"/>
      <c r="I8" s="56"/>
      <c r="J8" s="89"/>
      <c r="K8" s="79"/>
      <c r="L8" s="79"/>
      <c r="M8" s="79"/>
      <c r="N8" s="79"/>
      <c r="O8" s="93"/>
      <c r="P8" s="55"/>
      <c r="Q8" s="97"/>
      <c r="R8" s="57"/>
      <c r="S8" s="97"/>
      <c r="T8" s="101"/>
      <c r="U8" s="192"/>
      <c r="V8" s="192"/>
      <c r="W8" s="192"/>
    </row>
    <row r="9" spans="1:23" s="58" customFormat="1" ht="15" customHeight="1">
      <c r="A9" s="54"/>
      <c r="B9" s="54"/>
      <c r="C9" s="89"/>
      <c r="D9" s="93"/>
      <c r="E9" s="55"/>
      <c r="F9" s="55"/>
      <c r="G9" s="55"/>
      <c r="H9" s="277"/>
      <c r="I9" s="56"/>
      <c r="J9" s="89"/>
      <c r="K9" s="79"/>
      <c r="L9" s="79"/>
      <c r="M9" s="79"/>
      <c r="N9" s="79"/>
      <c r="O9" s="93"/>
      <c r="P9" s="55"/>
      <c r="Q9" s="97"/>
      <c r="R9" s="57"/>
      <c r="S9" s="97"/>
      <c r="T9" s="101"/>
      <c r="U9" s="192"/>
      <c r="V9" s="192"/>
      <c r="W9" s="192"/>
    </row>
    <row r="10" spans="1:23" s="142" customFormat="1" ht="15">
      <c r="A10" s="247">
        <v>10</v>
      </c>
      <c r="B10" s="247">
        <v>1</v>
      </c>
      <c r="C10" s="248" t="s">
        <v>23</v>
      </c>
      <c r="D10" s="249">
        <v>2</v>
      </c>
      <c r="E10" s="250">
        <v>5</v>
      </c>
      <c r="F10" s="250">
        <v>10</v>
      </c>
      <c r="G10" s="250">
        <v>20</v>
      </c>
      <c r="H10" s="279">
        <f>HLOOKUP(Komplexitaet,Stammdaten!$D$4:$G$99,A10-3,0)*Fläche</f>
        <v>37</v>
      </c>
      <c r="I10" s="250">
        <v>10</v>
      </c>
      <c r="J10" s="251">
        <v>0.5</v>
      </c>
      <c r="K10" s="252"/>
      <c r="L10" s="252"/>
      <c r="M10" s="252"/>
      <c r="N10" s="252"/>
      <c r="O10" s="251">
        <v>1.2</v>
      </c>
      <c r="P10" s="252">
        <v>0.8</v>
      </c>
      <c r="Q10" s="253"/>
      <c r="R10" s="254"/>
      <c r="S10" s="255" t="s">
        <v>116</v>
      </c>
    </row>
    <row r="11" spans="1:23" ht="15">
      <c r="A11" s="63">
        <v>11</v>
      </c>
      <c r="B11" s="63">
        <v>1</v>
      </c>
      <c r="C11" s="90" t="s">
        <v>57</v>
      </c>
      <c r="D11" s="14">
        <v>15</v>
      </c>
      <c r="E11" s="13">
        <v>20</v>
      </c>
      <c r="F11" s="13">
        <v>25</v>
      </c>
      <c r="G11" s="13">
        <v>35</v>
      </c>
      <c r="H11" s="277">
        <f>HLOOKUP(Komplexitaet,Stammdaten!$D$4:$G$99,A11-3,0)*Fläche</f>
        <v>92.5</v>
      </c>
      <c r="I11" s="13">
        <v>10</v>
      </c>
      <c r="J11" s="96">
        <v>2</v>
      </c>
      <c r="K11" s="7"/>
      <c r="L11" s="7"/>
      <c r="M11" s="7"/>
      <c r="N11" s="7"/>
      <c r="O11" s="96">
        <v>2</v>
      </c>
      <c r="P11" s="7"/>
      <c r="Q11" s="98"/>
      <c r="R11" s="12"/>
      <c r="S11" s="99" t="s">
        <v>125</v>
      </c>
      <c r="T11"/>
    </row>
    <row r="12" spans="1:23" ht="15">
      <c r="A12" s="63">
        <v>12</v>
      </c>
      <c r="B12" s="63">
        <v>2</v>
      </c>
      <c r="C12" s="90" t="s">
        <v>1</v>
      </c>
      <c r="D12" s="14">
        <v>2</v>
      </c>
      <c r="E12" s="13">
        <v>4</v>
      </c>
      <c r="F12" s="13">
        <v>8</v>
      </c>
      <c r="G12" s="13">
        <v>10</v>
      </c>
      <c r="H12" s="277">
        <f>HLOOKUP(Komplexitaet,Stammdaten!$D$4:$G$99,A12-3,0)*Fläche</f>
        <v>29.6</v>
      </c>
      <c r="I12" s="13">
        <v>5</v>
      </c>
      <c r="J12" s="96">
        <v>1</v>
      </c>
      <c r="K12" s="7">
        <v>1</v>
      </c>
      <c r="L12" s="7"/>
      <c r="M12" s="7"/>
      <c r="N12" s="7"/>
      <c r="O12" s="96">
        <v>0.2</v>
      </c>
      <c r="P12" s="7"/>
      <c r="Q12" s="98"/>
      <c r="R12" s="12"/>
      <c r="S12" s="99" t="s">
        <v>117</v>
      </c>
      <c r="T12"/>
    </row>
    <row r="13" spans="1:23" ht="15">
      <c r="A13" s="63">
        <v>13</v>
      </c>
      <c r="B13" s="63">
        <v>2</v>
      </c>
      <c r="C13" s="90" t="s">
        <v>17</v>
      </c>
      <c r="D13" s="14">
        <v>3</v>
      </c>
      <c r="E13" s="13">
        <v>6</v>
      </c>
      <c r="F13" s="13">
        <v>9</v>
      </c>
      <c r="G13" s="13">
        <v>12</v>
      </c>
      <c r="H13" s="277">
        <f>HLOOKUP(Komplexitaet,Stammdaten!$D$4:$G$99,A13-3,0)*Fläche</f>
        <v>33.300000000000004</v>
      </c>
      <c r="I13" s="13">
        <v>5</v>
      </c>
      <c r="J13" s="96">
        <v>0.5</v>
      </c>
      <c r="K13" s="7">
        <f>D102*0.2</f>
        <v>2.8000000000000003</v>
      </c>
      <c r="L13" s="7"/>
      <c r="M13" s="7"/>
      <c r="N13" s="7"/>
      <c r="O13" s="96">
        <v>0.2</v>
      </c>
      <c r="P13" s="7"/>
      <c r="Q13" s="98"/>
      <c r="R13" s="12"/>
      <c r="S13" s="99" t="s">
        <v>117</v>
      </c>
      <c r="T13"/>
    </row>
    <row r="14" spans="1:23" ht="15">
      <c r="A14" s="63">
        <v>14</v>
      </c>
      <c r="B14" s="63">
        <v>2</v>
      </c>
      <c r="C14" s="90" t="s">
        <v>2</v>
      </c>
      <c r="D14" s="14">
        <v>1</v>
      </c>
      <c r="E14" s="13">
        <v>2</v>
      </c>
      <c r="F14" s="13">
        <v>4</v>
      </c>
      <c r="G14" s="13">
        <v>8</v>
      </c>
      <c r="H14" s="277">
        <f>HLOOKUP(Komplexitaet,Stammdaten!$D$4:$G$99,A14-3,0)*Fläche</f>
        <v>14.8</v>
      </c>
      <c r="I14" s="13">
        <v>10</v>
      </c>
      <c r="J14" s="96">
        <v>3</v>
      </c>
      <c r="K14" s="7">
        <v>1</v>
      </c>
      <c r="L14" s="7"/>
      <c r="M14" s="7"/>
      <c r="N14" s="7"/>
      <c r="O14" s="96">
        <v>0.5</v>
      </c>
      <c r="P14" s="7">
        <v>1</v>
      </c>
      <c r="Q14" s="98"/>
      <c r="R14" s="12"/>
      <c r="S14" s="99" t="s">
        <v>58</v>
      </c>
      <c r="T14"/>
    </row>
    <row r="15" spans="1:23" ht="15">
      <c r="A15" s="63">
        <v>15</v>
      </c>
      <c r="B15" s="63"/>
      <c r="C15" s="90"/>
      <c r="D15" s="14"/>
      <c r="E15" s="13"/>
      <c r="F15" s="13"/>
      <c r="G15" s="13"/>
      <c r="H15" s="277">
        <f>HLOOKUP(Komplexitaet,Stammdaten!$D$4:$G$99,A15-3,0)*Fläche</f>
        <v>0</v>
      </c>
      <c r="I15" s="13"/>
      <c r="J15" s="96"/>
      <c r="K15" s="7"/>
      <c r="L15" s="7"/>
      <c r="M15" s="7"/>
      <c r="N15" s="7"/>
      <c r="O15" s="96"/>
      <c r="P15" s="7"/>
      <c r="Q15" s="98"/>
      <c r="R15" s="12"/>
      <c r="S15" s="99"/>
      <c r="T15"/>
    </row>
    <row r="16" spans="1:23" ht="15">
      <c r="A16" s="63">
        <v>16</v>
      </c>
      <c r="B16" s="63"/>
      <c r="C16" s="90"/>
      <c r="D16" s="14"/>
      <c r="E16" s="13"/>
      <c r="F16" s="13"/>
      <c r="G16" s="13"/>
      <c r="H16" s="277">
        <f>HLOOKUP(Komplexitaet,Stammdaten!$D$4:$G$99,A16-3,0)*Fläche</f>
        <v>0</v>
      </c>
      <c r="I16" s="13"/>
      <c r="J16" s="96"/>
      <c r="K16" s="7"/>
      <c r="L16" s="7"/>
      <c r="M16" s="7"/>
      <c r="N16" s="7"/>
      <c r="O16" s="96"/>
      <c r="P16" s="7"/>
      <c r="Q16" s="98"/>
      <c r="R16" s="12"/>
      <c r="S16" s="99"/>
      <c r="T16"/>
    </row>
    <row r="17" spans="1:20" ht="15">
      <c r="A17" s="63">
        <v>17</v>
      </c>
      <c r="B17" s="63"/>
      <c r="C17" s="90"/>
      <c r="D17" s="14"/>
      <c r="E17" s="13"/>
      <c r="F17" s="13"/>
      <c r="G17" s="13"/>
      <c r="H17" s="277">
        <f>HLOOKUP(Komplexitaet,Stammdaten!$D$4:$G$99,A17-3,0)*Fläche</f>
        <v>0</v>
      </c>
      <c r="I17" s="13"/>
      <c r="J17" s="96"/>
      <c r="K17" s="7"/>
      <c r="L17" s="7"/>
      <c r="M17" s="7"/>
      <c r="N17" s="7"/>
      <c r="O17" s="96"/>
      <c r="P17" s="7"/>
      <c r="Q17" s="98"/>
      <c r="R17" s="12"/>
      <c r="S17" s="99"/>
      <c r="T17"/>
    </row>
    <row r="18" spans="1:20" ht="15">
      <c r="A18" s="63">
        <v>18</v>
      </c>
      <c r="B18" s="63"/>
      <c r="C18" s="90"/>
      <c r="D18" s="14"/>
      <c r="E18" s="13"/>
      <c r="F18" s="13"/>
      <c r="G18" s="13"/>
      <c r="H18" s="277">
        <f>HLOOKUP(Komplexitaet,Stammdaten!$D$4:$G$99,A18-3,0)*Fläche</f>
        <v>0</v>
      </c>
      <c r="I18" s="13"/>
      <c r="J18" s="96"/>
      <c r="K18" s="7"/>
      <c r="L18" s="7"/>
      <c r="M18" s="7"/>
      <c r="N18" s="7"/>
      <c r="O18" s="96"/>
      <c r="P18" s="7"/>
      <c r="Q18" s="98"/>
      <c r="R18" s="12"/>
      <c r="S18" s="99"/>
      <c r="T18"/>
    </row>
    <row r="19" spans="1:20" ht="15">
      <c r="A19" s="63">
        <v>19</v>
      </c>
      <c r="B19" s="63"/>
      <c r="C19" s="90"/>
      <c r="D19" s="14"/>
      <c r="E19" s="13"/>
      <c r="F19" s="13"/>
      <c r="G19" s="13"/>
      <c r="H19" s="277">
        <f>HLOOKUP(Komplexitaet,Stammdaten!$D$4:$G$99,A19-3,0)*Fläche</f>
        <v>0</v>
      </c>
      <c r="I19" s="13"/>
      <c r="J19" s="96"/>
      <c r="K19" s="7"/>
      <c r="L19" s="7"/>
      <c r="M19" s="7"/>
      <c r="N19" s="7"/>
      <c r="O19" s="96"/>
      <c r="P19" s="7"/>
      <c r="Q19" s="98"/>
      <c r="R19" s="12"/>
      <c r="S19" s="99"/>
      <c r="T19"/>
    </row>
    <row r="20" spans="1:20" s="265" customFormat="1" ht="15">
      <c r="A20" s="256">
        <v>20</v>
      </c>
      <c r="B20" s="256">
        <v>2</v>
      </c>
      <c r="C20" s="257" t="s">
        <v>50</v>
      </c>
      <c r="D20" s="258">
        <v>15</v>
      </c>
      <c r="E20" s="259">
        <v>20</v>
      </c>
      <c r="F20" s="259">
        <v>25</v>
      </c>
      <c r="G20" s="259">
        <v>35</v>
      </c>
      <c r="H20" s="280">
        <f>HLOOKUP(Komplexitaet,Stammdaten!$D$4:$G$99,A20-3,0)*Fläche</f>
        <v>92.5</v>
      </c>
      <c r="I20" s="259">
        <v>10</v>
      </c>
      <c r="J20" s="260">
        <v>4</v>
      </c>
      <c r="K20" s="261">
        <v>0.97</v>
      </c>
      <c r="L20" s="261">
        <v>450</v>
      </c>
      <c r="M20" s="261">
        <v>0.3</v>
      </c>
      <c r="N20" s="261">
        <f>L20/M20*(1-M20)</f>
        <v>1050</v>
      </c>
      <c r="O20" s="260"/>
      <c r="P20" s="261">
        <v>0.5</v>
      </c>
      <c r="Q20" s="262">
        <v>1.2</v>
      </c>
      <c r="R20" s="263">
        <f>(L20+N20)/1000</f>
        <v>1.5</v>
      </c>
      <c r="S20" s="264" t="s">
        <v>115</v>
      </c>
    </row>
    <row r="21" spans="1:20" ht="15">
      <c r="A21" s="63">
        <v>21</v>
      </c>
      <c r="B21" s="63">
        <v>2</v>
      </c>
      <c r="C21" s="90" t="s">
        <v>56</v>
      </c>
      <c r="D21" s="14">
        <v>8</v>
      </c>
      <c r="E21" s="13">
        <v>12</v>
      </c>
      <c r="F21" s="13">
        <v>16</v>
      </c>
      <c r="G21" s="13">
        <v>24</v>
      </c>
      <c r="H21" s="277">
        <f>HLOOKUP(Komplexitaet,Stammdaten!$D$4:$G$99,A21-3,0)*Fläche</f>
        <v>59.2</v>
      </c>
      <c r="I21" s="13">
        <v>10</v>
      </c>
      <c r="J21" s="96">
        <v>10</v>
      </c>
      <c r="K21" s="7">
        <f>R21*(D103)</f>
        <v>160</v>
      </c>
      <c r="L21" s="7"/>
      <c r="M21" s="7"/>
      <c r="N21" s="7"/>
      <c r="O21" s="96">
        <v>10</v>
      </c>
      <c r="P21" s="7">
        <v>15</v>
      </c>
      <c r="Q21" s="98">
        <v>2</v>
      </c>
      <c r="R21" s="12">
        <v>0.5</v>
      </c>
      <c r="S21" s="99" t="s">
        <v>122</v>
      </c>
      <c r="T21"/>
    </row>
    <row r="22" spans="1:20" ht="15">
      <c r="A22" s="63">
        <v>22</v>
      </c>
      <c r="B22" s="63">
        <v>2</v>
      </c>
      <c r="C22" s="90" t="s">
        <v>191</v>
      </c>
      <c r="D22" s="14">
        <v>4</v>
      </c>
      <c r="E22" s="13">
        <v>6</v>
      </c>
      <c r="F22" s="13">
        <v>8</v>
      </c>
      <c r="G22" s="13">
        <v>10</v>
      </c>
      <c r="H22" s="277">
        <f>HLOOKUP(Komplexitaet,Stammdaten!$D$4:$G$99,A22-3,0)*Fläche</f>
        <v>29.6</v>
      </c>
      <c r="I22" s="13"/>
      <c r="J22" s="96">
        <v>5</v>
      </c>
      <c r="K22" s="7">
        <f>SUM(D157:D158,D155,D154)</f>
        <v>15.049999999999999</v>
      </c>
      <c r="L22" s="7"/>
      <c r="M22" s="7"/>
      <c r="N22" s="7"/>
      <c r="O22" s="96"/>
      <c r="P22" s="7"/>
      <c r="Q22" s="98"/>
      <c r="R22" s="12"/>
      <c r="S22" s="99"/>
      <c r="T22"/>
    </row>
    <row r="23" spans="1:20" ht="15">
      <c r="A23" s="63">
        <v>23</v>
      </c>
      <c r="B23" s="63">
        <v>2</v>
      </c>
      <c r="C23" s="90" t="s">
        <v>20</v>
      </c>
      <c r="D23" s="14">
        <v>4</v>
      </c>
      <c r="E23" s="13">
        <v>6</v>
      </c>
      <c r="F23" s="13">
        <v>8</v>
      </c>
      <c r="G23" s="13">
        <v>10</v>
      </c>
      <c r="H23" s="277">
        <f>HLOOKUP(Komplexitaet,Stammdaten!$D$4:$G$99,A23-3,0)*Fläche</f>
        <v>29.6</v>
      </c>
      <c r="I23" s="13">
        <v>10</v>
      </c>
      <c r="J23" s="96">
        <v>3</v>
      </c>
      <c r="K23" s="7">
        <f>SUM(D154:D156)</f>
        <v>1.6</v>
      </c>
      <c r="L23" s="7"/>
      <c r="M23" s="7"/>
      <c r="N23" s="7"/>
      <c r="O23" s="96">
        <v>6</v>
      </c>
      <c r="P23" s="7">
        <v>1</v>
      </c>
      <c r="Q23" s="98"/>
      <c r="R23" s="12"/>
      <c r="S23" s="99" t="s">
        <v>123</v>
      </c>
      <c r="T23"/>
    </row>
    <row r="24" spans="1:20" ht="15">
      <c r="A24" s="63">
        <v>24</v>
      </c>
      <c r="B24" s="63">
        <v>2</v>
      </c>
      <c r="C24" s="90" t="s">
        <v>19</v>
      </c>
      <c r="D24" s="14">
        <v>5</v>
      </c>
      <c r="E24" s="13">
        <v>7</v>
      </c>
      <c r="F24" s="13">
        <v>9</v>
      </c>
      <c r="G24" s="13">
        <v>11</v>
      </c>
      <c r="H24" s="277">
        <f>HLOOKUP(Komplexitaet,Stammdaten!$D$4:$G$99,A24-3,0)*Fläche</f>
        <v>33.300000000000004</v>
      </c>
      <c r="I24" s="13">
        <v>10</v>
      </c>
      <c r="J24" s="96">
        <v>3</v>
      </c>
      <c r="K24" s="7">
        <v>1</v>
      </c>
      <c r="L24" s="7"/>
      <c r="M24" s="7"/>
      <c r="N24" s="7"/>
      <c r="O24" s="96">
        <v>8</v>
      </c>
      <c r="P24" s="7">
        <v>1</v>
      </c>
      <c r="Q24" s="98"/>
      <c r="R24" s="12"/>
      <c r="S24" s="99" t="s">
        <v>124</v>
      </c>
      <c r="T24"/>
    </row>
    <row r="25" spans="1:20" ht="15">
      <c r="A25" s="63">
        <v>25</v>
      </c>
      <c r="B25" s="63"/>
      <c r="C25" s="90"/>
      <c r="D25" s="14"/>
      <c r="E25" s="13"/>
      <c r="F25" s="13"/>
      <c r="G25" s="13"/>
      <c r="H25" s="277">
        <f>HLOOKUP(Komplexitaet,Stammdaten!$D$4:$G$99,A25-3,0)*Fläche</f>
        <v>0</v>
      </c>
      <c r="I25" s="13"/>
      <c r="J25" s="96"/>
      <c r="K25" s="7"/>
      <c r="L25" s="7"/>
      <c r="M25" s="7"/>
      <c r="N25" s="7"/>
      <c r="O25" s="96"/>
      <c r="P25" s="7"/>
      <c r="Q25" s="98"/>
      <c r="R25" s="12"/>
      <c r="S25" s="99"/>
      <c r="T25"/>
    </row>
    <row r="26" spans="1:20" ht="15">
      <c r="A26" s="63">
        <v>26</v>
      </c>
      <c r="B26" s="63"/>
      <c r="C26" s="90"/>
      <c r="D26" s="14"/>
      <c r="E26" s="13"/>
      <c r="F26" s="13"/>
      <c r="G26" s="13"/>
      <c r="H26" s="277">
        <f>HLOOKUP(Komplexitaet,Stammdaten!$D$4:$G$99,A26-3,0)*Fläche</f>
        <v>0</v>
      </c>
      <c r="I26" s="13"/>
      <c r="J26" s="96"/>
      <c r="K26" s="7"/>
      <c r="L26" s="7"/>
      <c r="M26" s="7"/>
      <c r="N26" s="7"/>
      <c r="O26" s="96"/>
      <c r="P26" s="7"/>
      <c r="Q26" s="98"/>
      <c r="R26" s="12"/>
      <c r="S26" s="99"/>
      <c r="T26"/>
    </row>
    <row r="27" spans="1:20" ht="15">
      <c r="A27" s="63">
        <v>27</v>
      </c>
      <c r="B27" s="63"/>
      <c r="C27" s="90"/>
      <c r="D27" s="14"/>
      <c r="E27" s="13"/>
      <c r="F27" s="13"/>
      <c r="G27" s="13"/>
      <c r="H27" s="277">
        <f>HLOOKUP(Komplexitaet,Stammdaten!$D$4:$G$99,A27-3,0)*Fläche</f>
        <v>0</v>
      </c>
      <c r="I27" s="13"/>
      <c r="J27" s="96"/>
      <c r="K27" s="7"/>
      <c r="L27" s="7"/>
      <c r="M27" s="7"/>
      <c r="N27" s="7"/>
      <c r="O27" s="96"/>
      <c r="P27" s="7"/>
      <c r="Q27" s="98"/>
      <c r="R27" s="12"/>
      <c r="S27" s="99"/>
      <c r="T27"/>
    </row>
    <row r="28" spans="1:20" ht="15">
      <c r="A28" s="63">
        <v>28</v>
      </c>
      <c r="B28" s="63"/>
      <c r="C28" s="90"/>
      <c r="D28" s="14"/>
      <c r="E28" s="13"/>
      <c r="F28" s="13"/>
      <c r="G28" s="13"/>
      <c r="H28" s="277">
        <f>HLOOKUP(Komplexitaet,Stammdaten!$D$4:$G$99,A28-3,0)*Fläche</f>
        <v>0</v>
      </c>
      <c r="I28" s="13"/>
      <c r="J28" s="96"/>
      <c r="K28" s="7"/>
      <c r="L28" s="7"/>
      <c r="M28" s="7"/>
      <c r="N28" s="7"/>
      <c r="O28" s="96"/>
      <c r="P28" s="7"/>
      <c r="Q28" s="98"/>
      <c r="R28" s="12"/>
      <c r="S28" s="99"/>
      <c r="T28"/>
    </row>
    <row r="29" spans="1:20" ht="15">
      <c r="A29" s="63">
        <v>29</v>
      </c>
      <c r="B29" s="63"/>
      <c r="C29" s="90"/>
      <c r="D29" s="14"/>
      <c r="E29" s="13"/>
      <c r="F29" s="13"/>
      <c r="G29" s="13"/>
      <c r="H29" s="277">
        <f>HLOOKUP(Komplexitaet,Stammdaten!$D$4:$G$99,A29-3,0)*Fläche</f>
        <v>0</v>
      </c>
      <c r="I29" s="13"/>
      <c r="J29" s="96"/>
      <c r="K29" s="7"/>
      <c r="L29" s="7"/>
      <c r="M29" s="7"/>
      <c r="N29" s="7"/>
      <c r="O29" s="96"/>
      <c r="P29" s="7"/>
      <c r="Q29" s="98"/>
      <c r="R29" s="12"/>
      <c r="S29" s="99"/>
      <c r="T29"/>
    </row>
    <row r="30" spans="1:20" s="142" customFormat="1" ht="15">
      <c r="A30" s="247">
        <v>30</v>
      </c>
      <c r="B30" s="247">
        <v>2</v>
      </c>
      <c r="C30" s="248" t="s">
        <v>243</v>
      </c>
      <c r="D30" s="249">
        <v>2</v>
      </c>
      <c r="E30" s="250">
        <v>3</v>
      </c>
      <c r="F30" s="250">
        <v>4</v>
      </c>
      <c r="G30" s="250">
        <v>6</v>
      </c>
      <c r="H30" s="279">
        <f>HLOOKUP(Komplexitaet,Stammdaten!$D$4:$G$99,A30-3,0)*Fläche</f>
        <v>14.8</v>
      </c>
      <c r="I30" s="250">
        <v>7</v>
      </c>
      <c r="J30" s="251">
        <v>0.5</v>
      </c>
      <c r="K30" s="252">
        <f>R30*Ablauf!$A$4</f>
        <v>4.5</v>
      </c>
      <c r="L30" s="252"/>
      <c r="M30" s="252"/>
      <c r="N30" s="252"/>
      <c r="O30" s="251">
        <v>5</v>
      </c>
      <c r="P30" s="252">
        <v>0.8</v>
      </c>
      <c r="Q30" s="253">
        <v>0.3</v>
      </c>
      <c r="R30" s="254">
        <v>0.4</v>
      </c>
      <c r="S30" s="255" t="s">
        <v>118</v>
      </c>
    </row>
    <row r="31" spans="1:20" ht="15">
      <c r="A31" s="63">
        <v>31</v>
      </c>
      <c r="B31" s="63">
        <v>2</v>
      </c>
      <c r="C31" s="90" t="s">
        <v>244</v>
      </c>
      <c r="D31" s="14">
        <v>4</v>
      </c>
      <c r="E31" s="13">
        <v>5</v>
      </c>
      <c r="F31" s="13">
        <v>8</v>
      </c>
      <c r="G31" s="13">
        <v>10</v>
      </c>
      <c r="H31" s="277">
        <f>HLOOKUP(Komplexitaet,Stammdaten!$D$4:$G$99,A31-3,0)*Fläche</f>
        <v>29.6</v>
      </c>
      <c r="I31" s="13">
        <v>5</v>
      </c>
      <c r="J31" s="96">
        <v>0.5</v>
      </c>
      <c r="K31" s="7">
        <f>R31*Ablauf!$A$4</f>
        <v>9</v>
      </c>
      <c r="L31" s="7"/>
      <c r="M31" s="7"/>
      <c r="N31" s="7"/>
      <c r="O31" s="96">
        <v>1</v>
      </c>
      <c r="P31" s="7">
        <v>1</v>
      </c>
      <c r="Q31" s="98">
        <v>0.5</v>
      </c>
      <c r="R31" s="12">
        <v>0.8</v>
      </c>
      <c r="S31" s="99" t="s">
        <v>118</v>
      </c>
      <c r="T31"/>
    </row>
    <row r="32" spans="1:20" ht="15">
      <c r="A32" s="63">
        <v>32</v>
      </c>
      <c r="B32" s="63"/>
      <c r="C32" s="90"/>
      <c r="D32" s="14"/>
      <c r="E32" s="13"/>
      <c r="F32" s="13"/>
      <c r="G32" s="13"/>
      <c r="H32" s="277">
        <f>HLOOKUP(Komplexitaet,Stammdaten!$D$4:$G$99,A32-3,0)*Fläche</f>
        <v>0</v>
      </c>
      <c r="I32" s="13"/>
      <c r="J32" s="96"/>
      <c r="K32" s="7"/>
      <c r="L32" s="7"/>
      <c r="M32" s="7"/>
      <c r="N32" s="7"/>
      <c r="O32" s="96"/>
      <c r="P32" s="7"/>
      <c r="Q32" s="98"/>
      <c r="R32" s="12"/>
      <c r="S32" s="99"/>
      <c r="T32"/>
    </row>
    <row r="33" spans="1:20" ht="15">
      <c r="A33" s="63">
        <v>33</v>
      </c>
      <c r="B33" s="63"/>
      <c r="C33" s="90"/>
      <c r="D33" s="14"/>
      <c r="E33" s="13"/>
      <c r="F33" s="13"/>
      <c r="G33" s="13"/>
      <c r="H33" s="277">
        <f>HLOOKUP(Komplexitaet,Stammdaten!$D$4:$G$99,A33-3,0)*Fläche</f>
        <v>0</v>
      </c>
      <c r="I33" s="13"/>
      <c r="J33" s="96"/>
      <c r="K33" s="7"/>
      <c r="L33" s="7"/>
      <c r="M33" s="7"/>
      <c r="N33" s="7"/>
      <c r="O33" s="96"/>
      <c r="P33" s="7"/>
      <c r="Q33" s="98"/>
      <c r="R33" s="12"/>
      <c r="S33" s="99"/>
      <c r="T33"/>
    </row>
    <row r="34" spans="1:20" ht="15">
      <c r="A34" s="63">
        <v>34</v>
      </c>
      <c r="B34" s="63"/>
      <c r="C34" s="90"/>
      <c r="D34" s="14"/>
      <c r="E34" s="13"/>
      <c r="F34" s="13"/>
      <c r="G34" s="13"/>
      <c r="H34" s="277">
        <f>HLOOKUP(Komplexitaet,Stammdaten!$D$4:$G$99,A34-3,0)*Fläche</f>
        <v>0</v>
      </c>
      <c r="I34" s="13"/>
      <c r="J34" s="96"/>
      <c r="K34" s="7"/>
      <c r="L34" s="7"/>
      <c r="M34" s="7"/>
      <c r="N34" s="7"/>
      <c r="O34" s="96"/>
      <c r="P34" s="7"/>
      <c r="Q34" s="98"/>
      <c r="R34" s="12"/>
      <c r="S34" s="99"/>
      <c r="T34"/>
    </row>
    <row r="35" spans="1:20" ht="15">
      <c r="A35" s="63">
        <v>35</v>
      </c>
      <c r="B35" s="63"/>
      <c r="C35" s="90"/>
      <c r="D35" s="14"/>
      <c r="E35" s="13"/>
      <c r="F35" s="13"/>
      <c r="G35" s="13"/>
      <c r="H35" s="277">
        <f>HLOOKUP(Komplexitaet,Stammdaten!$D$4:$G$99,A35-3,0)*Fläche</f>
        <v>0</v>
      </c>
      <c r="I35" s="13"/>
      <c r="J35" s="96"/>
      <c r="K35" s="7"/>
      <c r="L35" s="7"/>
      <c r="M35" s="7"/>
      <c r="N35" s="7"/>
      <c r="O35" s="96"/>
      <c r="P35" s="7"/>
      <c r="Q35" s="98"/>
      <c r="R35" s="12"/>
      <c r="S35" s="99"/>
      <c r="T35"/>
    </row>
    <row r="36" spans="1:20" ht="15">
      <c r="A36" s="63">
        <v>36</v>
      </c>
      <c r="B36" s="63"/>
      <c r="C36" s="90"/>
      <c r="D36" s="14"/>
      <c r="E36" s="13"/>
      <c r="F36" s="13"/>
      <c r="G36" s="13"/>
      <c r="H36" s="277">
        <f>HLOOKUP(Komplexitaet,Stammdaten!$D$4:$G$99,A36-3,0)*Fläche</f>
        <v>0</v>
      </c>
      <c r="I36" s="13"/>
      <c r="J36" s="96"/>
      <c r="K36" s="7"/>
      <c r="L36" s="7"/>
      <c r="M36" s="7"/>
      <c r="N36" s="7"/>
      <c r="O36" s="96"/>
      <c r="P36" s="7"/>
      <c r="Q36" s="98"/>
      <c r="R36" s="12"/>
      <c r="S36" s="99"/>
      <c r="T36"/>
    </row>
    <row r="37" spans="1:20" ht="15">
      <c r="A37" s="63">
        <v>37</v>
      </c>
      <c r="B37" s="63"/>
      <c r="C37" s="90"/>
      <c r="D37" s="14"/>
      <c r="E37" s="13"/>
      <c r="F37" s="13"/>
      <c r="G37" s="13"/>
      <c r="H37" s="277">
        <f>HLOOKUP(Komplexitaet,Stammdaten!$D$4:$G$99,A37-3,0)*Fläche</f>
        <v>0</v>
      </c>
      <c r="I37" s="13"/>
      <c r="J37" s="96"/>
      <c r="K37" s="7"/>
      <c r="L37" s="7"/>
      <c r="M37" s="7"/>
      <c r="N37" s="7"/>
      <c r="O37" s="96"/>
      <c r="P37" s="7"/>
      <c r="Q37" s="98"/>
      <c r="R37" s="12"/>
      <c r="S37" s="99"/>
      <c r="T37"/>
    </row>
    <row r="38" spans="1:20" ht="15">
      <c r="A38" s="63">
        <v>38</v>
      </c>
      <c r="B38" s="63"/>
      <c r="C38" s="90"/>
      <c r="D38" s="14"/>
      <c r="E38" s="13"/>
      <c r="F38" s="13"/>
      <c r="G38" s="13"/>
      <c r="H38" s="277">
        <f>HLOOKUP(Komplexitaet,Stammdaten!$D$4:$G$99,A38-3,0)*Fläche</f>
        <v>0</v>
      </c>
      <c r="I38" s="13"/>
      <c r="J38" s="96"/>
      <c r="K38" s="7"/>
      <c r="L38" s="7"/>
      <c r="M38" s="7"/>
      <c r="N38" s="7"/>
      <c r="O38" s="96"/>
      <c r="P38" s="7"/>
      <c r="Q38" s="98"/>
      <c r="R38" s="12"/>
      <c r="S38" s="99"/>
      <c r="T38"/>
    </row>
    <row r="39" spans="1:20" ht="15">
      <c r="A39" s="63">
        <v>39</v>
      </c>
      <c r="B39" s="63"/>
      <c r="C39" s="90"/>
      <c r="D39" s="14"/>
      <c r="E39" s="13"/>
      <c r="F39" s="13"/>
      <c r="G39" s="13"/>
      <c r="H39" s="277">
        <f>HLOOKUP(Komplexitaet,Stammdaten!$D$4:$G$99,A39-3,0)*Fläche</f>
        <v>0</v>
      </c>
      <c r="I39" s="13"/>
      <c r="J39" s="96"/>
      <c r="K39" s="7"/>
      <c r="L39" s="7"/>
      <c r="M39" s="7"/>
      <c r="N39" s="7"/>
      <c r="O39" s="96"/>
      <c r="P39" s="7"/>
      <c r="Q39" s="98"/>
      <c r="R39" s="12"/>
      <c r="S39" s="99"/>
      <c r="T39"/>
    </row>
    <row r="40" spans="1:20" s="265" customFormat="1" ht="15">
      <c r="A40" s="256">
        <v>40</v>
      </c>
      <c r="B40" s="256">
        <v>2</v>
      </c>
      <c r="C40" s="257" t="str">
        <f t="shared" ref="C40:C45" si="1">O137</f>
        <v>Abreissgewebe 83 g/m²</v>
      </c>
      <c r="D40" s="258">
        <v>5</v>
      </c>
      <c r="E40" s="259">
        <v>7.5</v>
      </c>
      <c r="F40" s="259">
        <v>10</v>
      </c>
      <c r="G40" s="259">
        <v>15</v>
      </c>
      <c r="H40" s="280">
        <f>HLOOKUP(Komplexitaet,Stammdaten!$D$4:$G$99,A40-3,0)*Fläche</f>
        <v>37</v>
      </c>
      <c r="I40" s="259">
        <v>3</v>
      </c>
      <c r="J40" s="260">
        <v>0.5</v>
      </c>
      <c r="K40" s="261">
        <f t="shared" ref="K40:L45" si="2">D137</f>
        <v>1.38</v>
      </c>
      <c r="L40" s="261">
        <f t="shared" si="2"/>
        <v>83</v>
      </c>
      <c r="M40" s="261">
        <v>0.35</v>
      </c>
      <c r="N40" s="261">
        <f t="shared" ref="N40:N45" si="3">L40/M40*(1-M40)</f>
        <v>154.14285714285717</v>
      </c>
      <c r="O40" s="260"/>
      <c r="P40" s="261">
        <v>0.5</v>
      </c>
      <c r="Q40" s="262">
        <v>0.2</v>
      </c>
      <c r="R40" s="263">
        <f t="shared" ref="R40:R45" si="4">(L40+N40)/1000</f>
        <v>0.23714285714285716</v>
      </c>
      <c r="S40" s="264" t="s">
        <v>113</v>
      </c>
    </row>
    <row r="41" spans="1:20" s="275" customFormat="1" ht="15">
      <c r="A41" s="266">
        <v>41</v>
      </c>
      <c r="B41" s="266">
        <v>2</v>
      </c>
      <c r="C41" s="267" t="str">
        <f t="shared" si="1"/>
        <v>Glasfasermatte 150 g/m²</v>
      </c>
      <c r="D41" s="268">
        <v>7</v>
      </c>
      <c r="E41" s="269">
        <v>10</v>
      </c>
      <c r="F41" s="269">
        <v>15</v>
      </c>
      <c r="G41" s="269">
        <v>20</v>
      </c>
      <c r="H41" s="281">
        <f>HLOOKUP(Komplexitaet,Stammdaten!$D$4:$G$99,A41-3,0)*Fläche</f>
        <v>55.5</v>
      </c>
      <c r="I41" s="269">
        <v>3</v>
      </c>
      <c r="J41" s="270">
        <v>0.5</v>
      </c>
      <c r="K41" s="271">
        <f t="shared" si="2"/>
        <v>0.375</v>
      </c>
      <c r="L41" s="271">
        <f t="shared" si="2"/>
        <v>150</v>
      </c>
      <c r="M41" s="271">
        <v>0.35</v>
      </c>
      <c r="N41" s="271">
        <f t="shared" si="3"/>
        <v>278.57142857142861</v>
      </c>
      <c r="O41" s="270"/>
      <c r="P41" s="271">
        <v>0.5</v>
      </c>
      <c r="Q41" s="272">
        <v>0.4</v>
      </c>
      <c r="R41" s="273">
        <f t="shared" si="4"/>
        <v>0.4285714285714286</v>
      </c>
      <c r="S41" s="274" t="s">
        <v>113</v>
      </c>
    </row>
    <row r="42" spans="1:20" s="275" customFormat="1" ht="15">
      <c r="A42" s="266">
        <v>42</v>
      </c>
      <c r="B42" s="266">
        <v>2</v>
      </c>
      <c r="C42" s="267" t="str">
        <f t="shared" si="1"/>
        <v>Glasfasermatte 450 g/m²</v>
      </c>
      <c r="D42" s="268">
        <v>8</v>
      </c>
      <c r="E42" s="269">
        <v>12</v>
      </c>
      <c r="F42" s="269">
        <v>18</v>
      </c>
      <c r="G42" s="269">
        <v>24</v>
      </c>
      <c r="H42" s="281">
        <f>HLOOKUP(Komplexitaet,Stammdaten!$D$4:$G$99,A42-3,0)*Fläche</f>
        <v>66.600000000000009</v>
      </c>
      <c r="I42" s="269">
        <v>3</v>
      </c>
      <c r="J42" s="270">
        <v>0.5</v>
      </c>
      <c r="K42" s="271">
        <f t="shared" si="2"/>
        <v>0.80549999999999999</v>
      </c>
      <c r="L42" s="271">
        <f t="shared" si="2"/>
        <v>450</v>
      </c>
      <c r="M42" s="271">
        <v>0.35</v>
      </c>
      <c r="N42" s="271">
        <f t="shared" si="3"/>
        <v>835.71428571428578</v>
      </c>
      <c r="O42" s="270"/>
      <c r="P42" s="271">
        <v>0.5</v>
      </c>
      <c r="Q42" s="272">
        <v>0.9</v>
      </c>
      <c r="R42" s="273">
        <f t="shared" si="4"/>
        <v>1.2857142857142858</v>
      </c>
      <c r="S42" s="274" t="s">
        <v>113</v>
      </c>
    </row>
    <row r="43" spans="1:20" s="275" customFormat="1" ht="15">
      <c r="A43" s="266">
        <v>43</v>
      </c>
      <c r="B43" s="266">
        <v>2</v>
      </c>
      <c r="C43" s="267" t="str">
        <f t="shared" si="1"/>
        <v>K1800 235 g/m²</v>
      </c>
      <c r="D43" s="268">
        <v>7</v>
      </c>
      <c r="E43" s="269">
        <v>10</v>
      </c>
      <c r="F43" s="269">
        <v>12</v>
      </c>
      <c r="G43" s="269">
        <v>15</v>
      </c>
      <c r="H43" s="281">
        <f>HLOOKUP(Komplexitaet,Stammdaten!$D$4:$G$99,A43-3,0)*Fläche</f>
        <v>44.400000000000006</v>
      </c>
      <c r="I43" s="269">
        <v>3</v>
      </c>
      <c r="J43" s="270">
        <v>0.5</v>
      </c>
      <c r="K43" s="271">
        <f t="shared" si="2"/>
        <v>1.66</v>
      </c>
      <c r="L43" s="271">
        <f t="shared" si="2"/>
        <v>235</v>
      </c>
      <c r="M43" s="271">
        <v>0.35</v>
      </c>
      <c r="N43" s="271">
        <f t="shared" si="3"/>
        <v>436.42857142857144</v>
      </c>
      <c r="O43" s="270"/>
      <c r="P43" s="271">
        <v>0.5</v>
      </c>
      <c r="Q43" s="272">
        <v>0.9</v>
      </c>
      <c r="R43" s="273">
        <f t="shared" si="4"/>
        <v>0.67142857142857149</v>
      </c>
      <c r="S43" s="274" t="s">
        <v>113</v>
      </c>
    </row>
    <row r="44" spans="1:20" s="275" customFormat="1" ht="15">
      <c r="A44" s="266">
        <v>44</v>
      </c>
      <c r="B44" s="266">
        <v>2</v>
      </c>
      <c r="C44" s="267" t="str">
        <f t="shared" si="1"/>
        <v>Glasseidengewebe 390 g/m²</v>
      </c>
      <c r="D44" s="268">
        <v>7</v>
      </c>
      <c r="E44" s="269">
        <v>10</v>
      </c>
      <c r="F44" s="269">
        <v>13</v>
      </c>
      <c r="G44" s="269">
        <v>16</v>
      </c>
      <c r="H44" s="281">
        <f>HLOOKUP(Komplexitaet,Stammdaten!$D$4:$G$99,A44-3,0)*Fläche</f>
        <v>48.1</v>
      </c>
      <c r="I44" s="269">
        <v>3</v>
      </c>
      <c r="J44" s="270">
        <v>0.5</v>
      </c>
      <c r="K44" s="271">
        <f t="shared" si="2"/>
        <v>2.96</v>
      </c>
      <c r="L44" s="271">
        <f t="shared" si="2"/>
        <v>390</v>
      </c>
      <c r="M44" s="271">
        <v>0.35</v>
      </c>
      <c r="N44" s="271">
        <f t="shared" si="3"/>
        <v>724.28571428571445</v>
      </c>
      <c r="O44" s="270"/>
      <c r="P44" s="271">
        <v>0.5</v>
      </c>
      <c r="Q44" s="272">
        <v>0.4</v>
      </c>
      <c r="R44" s="273">
        <f t="shared" si="4"/>
        <v>1.1142857142857145</v>
      </c>
      <c r="S44" s="274" t="s">
        <v>114</v>
      </c>
    </row>
    <row r="45" spans="1:20" s="275" customFormat="1" ht="15">
      <c r="A45" s="266">
        <v>45</v>
      </c>
      <c r="B45" s="266">
        <v>2</v>
      </c>
      <c r="C45" s="267" t="str">
        <f t="shared" si="1"/>
        <v>Rovinggewebe 580 g/m²</v>
      </c>
      <c r="D45" s="268">
        <v>9</v>
      </c>
      <c r="E45" s="269">
        <v>12</v>
      </c>
      <c r="F45" s="269">
        <v>15</v>
      </c>
      <c r="G45" s="269">
        <v>18</v>
      </c>
      <c r="H45" s="281">
        <f>HLOOKUP(Komplexitaet,Stammdaten!$D$4:$G$99,A45-3,0)*Fläche</f>
        <v>55.5</v>
      </c>
      <c r="I45" s="269">
        <v>3</v>
      </c>
      <c r="J45" s="270">
        <v>0.5</v>
      </c>
      <c r="K45" s="271">
        <f t="shared" si="2"/>
        <v>0.86420000000000008</v>
      </c>
      <c r="L45" s="271">
        <f t="shared" si="2"/>
        <v>580</v>
      </c>
      <c r="M45" s="271">
        <v>0.35</v>
      </c>
      <c r="N45" s="271">
        <f t="shared" si="3"/>
        <v>1077.1428571428573</v>
      </c>
      <c r="O45" s="270"/>
      <c r="P45" s="271">
        <v>0.5</v>
      </c>
      <c r="Q45" s="272">
        <v>0.8</v>
      </c>
      <c r="R45" s="273">
        <f t="shared" si="4"/>
        <v>1.6571428571428573</v>
      </c>
      <c r="S45" s="274" t="s">
        <v>114</v>
      </c>
    </row>
    <row r="46" spans="1:20" s="275" customFormat="1" ht="15">
      <c r="A46" s="63">
        <v>46</v>
      </c>
      <c r="B46" s="63"/>
      <c r="C46" s="90"/>
      <c r="D46" s="14"/>
      <c r="E46" s="13"/>
      <c r="F46" s="13"/>
      <c r="G46" s="13"/>
      <c r="H46" s="277">
        <f>HLOOKUP(Komplexitaet,Stammdaten!$D$4:$G$99,A46-3,0)*Fläche</f>
        <v>0</v>
      </c>
      <c r="I46" s="13"/>
      <c r="J46" s="96"/>
      <c r="K46" s="7"/>
      <c r="L46" s="7"/>
      <c r="M46" s="7"/>
      <c r="N46" s="7"/>
      <c r="O46" s="96"/>
      <c r="P46" s="7"/>
      <c r="Q46" s="98"/>
      <c r="R46" s="12"/>
      <c r="S46" s="99"/>
    </row>
    <row r="47" spans="1:20" ht="15">
      <c r="A47" s="63">
        <v>47</v>
      </c>
      <c r="B47" s="63"/>
      <c r="C47" s="90"/>
      <c r="D47" s="14"/>
      <c r="E47" s="13"/>
      <c r="F47" s="13"/>
      <c r="G47" s="13"/>
      <c r="H47" s="277">
        <f>HLOOKUP(Komplexitaet,Stammdaten!$D$4:$G$99,A47-3,0)*Fläche</f>
        <v>0</v>
      </c>
      <c r="I47" s="13"/>
      <c r="J47" s="96"/>
      <c r="K47" s="7"/>
      <c r="L47" s="7"/>
      <c r="M47" s="7"/>
      <c r="N47" s="7"/>
      <c r="O47" s="96"/>
      <c r="P47" s="7"/>
      <c r="Q47" s="98"/>
      <c r="R47" s="12"/>
      <c r="S47" s="99"/>
      <c r="T47"/>
    </row>
    <row r="48" spans="1:20" ht="15">
      <c r="A48" s="63">
        <v>48</v>
      </c>
      <c r="B48" s="63"/>
      <c r="C48" s="90"/>
      <c r="D48" s="14"/>
      <c r="E48" s="13"/>
      <c r="F48" s="13"/>
      <c r="G48" s="13"/>
      <c r="H48" s="277">
        <f>HLOOKUP(Komplexitaet,Stammdaten!$D$4:$G$99,A48-3,0)*Fläche</f>
        <v>0</v>
      </c>
      <c r="I48" s="13"/>
      <c r="J48" s="96"/>
      <c r="K48" s="7"/>
      <c r="L48" s="7"/>
      <c r="M48" s="7"/>
      <c r="N48" s="7"/>
      <c r="O48" s="96"/>
      <c r="P48" s="7"/>
      <c r="Q48" s="98"/>
      <c r="R48" s="12"/>
      <c r="S48" s="99"/>
      <c r="T48"/>
    </row>
    <row r="49" spans="1:20" ht="15">
      <c r="A49" s="63">
        <v>49</v>
      </c>
      <c r="B49" s="63"/>
      <c r="C49" s="90"/>
      <c r="D49" s="14"/>
      <c r="E49" s="13"/>
      <c r="F49" s="13"/>
      <c r="G49" s="13"/>
      <c r="H49" s="277">
        <f>HLOOKUP(Komplexitaet,Stammdaten!$D$4:$G$99,A49-3,0)*Fläche</f>
        <v>0</v>
      </c>
      <c r="I49" s="13"/>
      <c r="J49" s="96"/>
      <c r="K49" s="7"/>
      <c r="L49" s="7"/>
      <c r="M49" s="7"/>
      <c r="N49" s="7"/>
      <c r="O49" s="96"/>
      <c r="P49" s="7"/>
      <c r="Q49" s="98"/>
      <c r="R49" s="12"/>
      <c r="S49" s="99"/>
      <c r="T49"/>
    </row>
    <row r="50" spans="1:20" s="265" customFormat="1" ht="15">
      <c r="A50" s="256">
        <v>50</v>
      </c>
      <c r="B50" s="256">
        <v>2</v>
      </c>
      <c r="C50" s="257" t="str">
        <f>O143</f>
        <v>Carbongewebe 240 g/m²</v>
      </c>
      <c r="D50" s="258">
        <v>7</v>
      </c>
      <c r="E50" s="259">
        <v>10</v>
      </c>
      <c r="F50" s="259">
        <v>13</v>
      </c>
      <c r="G50" s="259">
        <v>16</v>
      </c>
      <c r="H50" s="280">
        <f>HLOOKUP(Komplexitaet,Stammdaten!$D$4:$G$99,A50-3,0)*Fläche</f>
        <v>48.1</v>
      </c>
      <c r="I50" s="259">
        <v>3</v>
      </c>
      <c r="J50" s="260">
        <v>0.5</v>
      </c>
      <c r="K50" s="261">
        <f>D143</f>
        <v>18.600000000000001</v>
      </c>
      <c r="L50" s="261">
        <f>E143</f>
        <v>240</v>
      </c>
      <c r="M50" s="261">
        <v>0.5</v>
      </c>
      <c r="N50" s="261">
        <f>L50/M50*(1-M50)</f>
        <v>240</v>
      </c>
      <c r="O50" s="260"/>
      <c r="P50" s="261">
        <v>0.5</v>
      </c>
      <c r="Q50" s="262">
        <v>0.4</v>
      </c>
      <c r="R50" s="263">
        <f>(L50+N50)/1000</f>
        <v>0.48</v>
      </c>
      <c r="S50" s="264" t="s">
        <v>114</v>
      </c>
    </row>
    <row r="51" spans="1:20" s="275" customFormat="1" ht="15">
      <c r="A51" s="266">
        <v>51</v>
      </c>
      <c r="B51" s="266">
        <v>2</v>
      </c>
      <c r="C51" s="267" t="str">
        <f>O144</f>
        <v>Carbongewebe 600 g/m²</v>
      </c>
      <c r="D51" s="268">
        <v>9</v>
      </c>
      <c r="E51" s="269">
        <v>12</v>
      </c>
      <c r="F51" s="269">
        <v>15</v>
      </c>
      <c r="G51" s="269">
        <v>18</v>
      </c>
      <c r="H51" s="281">
        <f>HLOOKUP(Komplexitaet,Stammdaten!$D$4:$G$99,A51-3,0)*Fläche</f>
        <v>55.5</v>
      </c>
      <c r="I51" s="269">
        <v>3</v>
      </c>
      <c r="J51" s="270">
        <v>0.5</v>
      </c>
      <c r="K51" s="271">
        <f>D144</f>
        <v>16.5</v>
      </c>
      <c r="L51" s="271">
        <f>E144</f>
        <v>600</v>
      </c>
      <c r="M51" s="271">
        <v>0.5</v>
      </c>
      <c r="N51" s="271">
        <f>L51/M51*(1-M51)</f>
        <v>600</v>
      </c>
      <c r="O51" s="270"/>
      <c r="P51" s="271">
        <v>0.5</v>
      </c>
      <c r="Q51" s="272">
        <v>0.8</v>
      </c>
      <c r="R51" s="273">
        <f>(L51+N51)/1000</f>
        <v>1.2</v>
      </c>
      <c r="S51" s="274" t="s">
        <v>114</v>
      </c>
    </row>
    <row r="52" spans="1:20" s="275" customFormat="1" ht="15">
      <c r="A52" s="63">
        <v>52</v>
      </c>
      <c r="B52" s="63"/>
      <c r="C52" s="90"/>
      <c r="D52" s="14"/>
      <c r="E52" s="13"/>
      <c r="F52" s="13"/>
      <c r="G52" s="13"/>
      <c r="H52" s="277">
        <f>HLOOKUP(Komplexitaet,Stammdaten!$D$4:$G$99,A52-3,0)*Fläche</f>
        <v>0</v>
      </c>
      <c r="I52" s="13"/>
      <c r="J52" s="96"/>
      <c r="K52" s="7"/>
      <c r="L52" s="7"/>
      <c r="M52" s="7"/>
      <c r="N52" s="7"/>
      <c r="O52" s="96"/>
      <c r="P52" s="7"/>
      <c r="Q52" s="98"/>
      <c r="R52" s="12"/>
      <c r="S52" s="99"/>
      <c r="T52"/>
    </row>
    <row r="53" spans="1:20" ht="15">
      <c r="A53" s="63">
        <v>53</v>
      </c>
      <c r="B53" s="63"/>
      <c r="C53" s="90"/>
      <c r="D53" s="14"/>
      <c r="E53" s="13"/>
      <c r="F53" s="13"/>
      <c r="G53" s="13"/>
      <c r="H53" s="277">
        <f>HLOOKUP(Komplexitaet,Stammdaten!$D$4:$G$99,A53-3,0)*Fläche</f>
        <v>0</v>
      </c>
      <c r="I53" s="13"/>
      <c r="J53" s="96"/>
      <c r="K53" s="7"/>
      <c r="L53" s="7"/>
      <c r="M53" s="7"/>
      <c r="N53" s="7"/>
      <c r="O53" s="96"/>
      <c r="P53" s="7"/>
      <c r="Q53" s="98"/>
      <c r="R53" s="12"/>
      <c r="S53" s="99"/>
      <c r="T53"/>
    </row>
    <row r="54" spans="1:20" ht="15">
      <c r="A54" s="63">
        <v>54</v>
      </c>
      <c r="B54" s="63"/>
      <c r="C54" s="90"/>
      <c r="D54" s="14"/>
      <c r="E54" s="13"/>
      <c r="F54" s="13"/>
      <c r="G54" s="13"/>
      <c r="H54" s="277">
        <f>HLOOKUP(Komplexitaet,Stammdaten!$D$4:$G$99,A54-3,0)*Fläche</f>
        <v>0</v>
      </c>
      <c r="I54" s="13"/>
      <c r="J54" s="96"/>
      <c r="K54" s="7"/>
      <c r="L54" s="7"/>
      <c r="M54" s="7"/>
      <c r="N54" s="7"/>
      <c r="O54" s="96"/>
      <c r="P54" s="7"/>
      <c r="Q54" s="98"/>
      <c r="R54" s="12"/>
      <c r="S54" s="99"/>
      <c r="T54"/>
    </row>
    <row r="55" spans="1:20" ht="15">
      <c r="A55" s="63">
        <v>55</v>
      </c>
      <c r="B55" s="63"/>
      <c r="C55" s="90"/>
      <c r="D55" s="14"/>
      <c r="E55" s="13"/>
      <c r="F55" s="13"/>
      <c r="G55" s="13"/>
      <c r="H55" s="277">
        <f>HLOOKUP(Komplexitaet,Stammdaten!$D$4:$G$99,A55-3,0)*Fläche</f>
        <v>0</v>
      </c>
      <c r="I55" s="13"/>
      <c r="J55" s="96"/>
      <c r="K55" s="7"/>
      <c r="L55" s="7"/>
      <c r="M55" s="7"/>
      <c r="N55" s="7"/>
      <c r="O55" s="96"/>
      <c r="P55" s="7"/>
      <c r="Q55" s="98"/>
      <c r="R55" s="12"/>
      <c r="S55" s="99"/>
      <c r="T55"/>
    </row>
    <row r="56" spans="1:20" ht="15">
      <c r="A56" s="63">
        <v>56</v>
      </c>
      <c r="B56" s="63"/>
      <c r="C56" s="90"/>
      <c r="D56" s="14"/>
      <c r="E56" s="13"/>
      <c r="F56" s="13"/>
      <c r="G56" s="13"/>
      <c r="H56" s="277">
        <f>HLOOKUP(Komplexitaet,Stammdaten!$D$4:$G$99,A56-3,0)*Fläche</f>
        <v>0</v>
      </c>
      <c r="I56" s="13"/>
      <c r="J56" s="96"/>
      <c r="K56" s="7"/>
      <c r="L56" s="7"/>
      <c r="M56" s="7"/>
      <c r="N56" s="7"/>
      <c r="O56" s="96"/>
      <c r="P56" s="7"/>
      <c r="Q56" s="98"/>
      <c r="R56" s="12"/>
      <c r="S56" s="99"/>
      <c r="T56"/>
    </row>
    <row r="57" spans="1:20" ht="15">
      <c r="A57" s="63">
        <v>57</v>
      </c>
      <c r="B57" s="63"/>
      <c r="C57" s="90"/>
      <c r="D57" s="14"/>
      <c r="E57" s="13"/>
      <c r="F57" s="13"/>
      <c r="G57" s="13"/>
      <c r="H57" s="277">
        <f>HLOOKUP(Komplexitaet,Stammdaten!$D$4:$G$99,A57-3,0)*Fläche</f>
        <v>0</v>
      </c>
      <c r="I57" s="13"/>
      <c r="J57" s="96"/>
      <c r="K57" s="7"/>
      <c r="L57" s="7"/>
      <c r="M57" s="7"/>
      <c r="N57" s="7"/>
      <c r="O57" s="96"/>
      <c r="P57" s="7"/>
      <c r="Q57" s="98"/>
      <c r="R57" s="12"/>
      <c r="S57" s="99"/>
      <c r="T57"/>
    </row>
    <row r="58" spans="1:20" ht="15">
      <c r="A58" s="63">
        <v>58</v>
      </c>
      <c r="B58" s="63"/>
      <c r="C58" s="90"/>
      <c r="D58" s="14"/>
      <c r="E58" s="13"/>
      <c r="F58" s="13"/>
      <c r="G58" s="13"/>
      <c r="H58" s="277">
        <f>HLOOKUP(Komplexitaet,Stammdaten!$D$4:$G$99,A58-3,0)*Fläche</f>
        <v>0</v>
      </c>
      <c r="I58" s="13"/>
      <c r="J58" s="96"/>
      <c r="K58" s="7"/>
      <c r="L58" s="7"/>
      <c r="M58" s="7"/>
      <c r="N58" s="7"/>
      <c r="O58" s="96"/>
      <c r="P58" s="7"/>
      <c r="Q58" s="98"/>
      <c r="R58" s="12"/>
      <c r="S58" s="99"/>
      <c r="T58"/>
    </row>
    <row r="59" spans="1:20" ht="15">
      <c r="A59" s="63">
        <v>59</v>
      </c>
      <c r="B59" s="63"/>
      <c r="C59" s="90"/>
      <c r="D59" s="14"/>
      <c r="E59" s="13"/>
      <c r="F59" s="13"/>
      <c r="G59" s="13"/>
      <c r="H59" s="277">
        <f>HLOOKUP(Komplexitaet,Stammdaten!$D$4:$G$99,A59-3,0)*Fläche</f>
        <v>0</v>
      </c>
      <c r="I59" s="13"/>
      <c r="J59" s="96"/>
      <c r="K59" s="7"/>
      <c r="L59" s="7"/>
      <c r="M59" s="7"/>
      <c r="N59" s="7"/>
      <c r="O59" s="96"/>
      <c r="P59" s="7"/>
      <c r="Q59" s="98"/>
      <c r="R59" s="12"/>
      <c r="S59" s="99"/>
      <c r="T59"/>
    </row>
    <row r="60" spans="1:20" s="142" customFormat="1" ht="15">
      <c r="A60" s="247">
        <v>60</v>
      </c>
      <c r="B60" s="247">
        <v>2</v>
      </c>
      <c r="C60" s="248" t="s">
        <v>8</v>
      </c>
      <c r="D60" s="249">
        <v>2</v>
      </c>
      <c r="E60" s="250">
        <v>4</v>
      </c>
      <c r="F60" s="250">
        <v>6</v>
      </c>
      <c r="G60" s="250">
        <v>8</v>
      </c>
      <c r="H60" s="279">
        <f>HLOOKUP(Komplexitaet,Stammdaten!$D$4:$G$99,A60-3,0)*Fläche</f>
        <v>22.200000000000003</v>
      </c>
      <c r="I60" s="250">
        <v>10</v>
      </c>
      <c r="J60" s="251">
        <v>1.5</v>
      </c>
      <c r="K60" s="252">
        <v>1</v>
      </c>
      <c r="L60" s="252"/>
      <c r="M60" s="252"/>
      <c r="N60" s="252"/>
      <c r="O60" s="251">
        <v>1</v>
      </c>
      <c r="P60" s="252">
        <v>4</v>
      </c>
      <c r="Q60" s="253">
        <v>1</v>
      </c>
      <c r="R60" s="254">
        <v>0.2</v>
      </c>
      <c r="S60" s="255" t="s">
        <v>126</v>
      </c>
    </row>
    <row r="61" spans="1:20" ht="15">
      <c r="A61" s="63">
        <v>61</v>
      </c>
      <c r="B61" s="63">
        <v>2</v>
      </c>
      <c r="C61" s="90" t="s">
        <v>6</v>
      </c>
      <c r="D61" s="14">
        <v>2</v>
      </c>
      <c r="E61" s="13">
        <v>3</v>
      </c>
      <c r="F61" s="13">
        <v>4</v>
      </c>
      <c r="G61" s="13">
        <v>6</v>
      </c>
      <c r="H61" s="277">
        <f>HLOOKUP(Komplexitaet,Stammdaten!$D$4:$G$99,A61-3,0)*Fläche</f>
        <v>14.8</v>
      </c>
      <c r="I61" s="13">
        <v>7</v>
      </c>
      <c r="J61" s="96">
        <v>0.5</v>
      </c>
      <c r="K61" s="7">
        <f>R61*Ablauf!$A$6</f>
        <v>4.5</v>
      </c>
      <c r="L61" s="7"/>
      <c r="M61" s="7"/>
      <c r="N61" s="7"/>
      <c r="O61" s="96">
        <v>5</v>
      </c>
      <c r="P61" s="7">
        <v>0.8</v>
      </c>
      <c r="Q61" s="98">
        <v>0.3</v>
      </c>
      <c r="R61" s="12">
        <v>0.4</v>
      </c>
      <c r="S61" s="99" t="s">
        <v>121</v>
      </c>
      <c r="T61"/>
    </row>
    <row r="62" spans="1:20" ht="15">
      <c r="A62" s="63">
        <v>62</v>
      </c>
      <c r="B62" s="63">
        <v>2</v>
      </c>
      <c r="C62" s="90" t="s">
        <v>7</v>
      </c>
      <c r="D62" s="14">
        <v>4</v>
      </c>
      <c r="E62" s="13">
        <v>6</v>
      </c>
      <c r="F62" s="13">
        <v>8</v>
      </c>
      <c r="G62" s="13">
        <v>12</v>
      </c>
      <c r="H62" s="277">
        <f>HLOOKUP(Komplexitaet,Stammdaten!$D$4:$G$99,A62-3,0)*Fläche</f>
        <v>29.6</v>
      </c>
      <c r="I62" s="13">
        <v>5</v>
      </c>
      <c r="J62" s="96">
        <v>0.5</v>
      </c>
      <c r="K62" s="7">
        <f>R62*Ablauf!$A$6</f>
        <v>9</v>
      </c>
      <c r="L62" s="7"/>
      <c r="M62" s="7"/>
      <c r="N62" s="7"/>
      <c r="O62" s="96">
        <v>1</v>
      </c>
      <c r="P62" s="7">
        <v>1</v>
      </c>
      <c r="Q62" s="98">
        <v>0.5</v>
      </c>
      <c r="R62" s="12">
        <v>0.8</v>
      </c>
      <c r="S62" s="99" t="s">
        <v>121</v>
      </c>
      <c r="T62"/>
    </row>
    <row r="63" spans="1:20" ht="15">
      <c r="A63" s="63">
        <v>63</v>
      </c>
      <c r="B63" s="63"/>
      <c r="C63" s="90"/>
      <c r="D63" s="14"/>
      <c r="E63" s="13"/>
      <c r="F63" s="13"/>
      <c r="G63" s="13"/>
      <c r="H63" s="277">
        <f>HLOOKUP(Komplexitaet,Stammdaten!$D$4:$G$99,A63-3,0)*Fläche</f>
        <v>0</v>
      </c>
      <c r="I63" s="13"/>
      <c r="J63" s="96"/>
      <c r="K63" s="7"/>
      <c r="L63" s="7"/>
      <c r="M63" s="7"/>
      <c r="N63" s="7"/>
      <c r="O63" s="96"/>
      <c r="P63" s="7"/>
      <c r="Q63" s="98"/>
      <c r="R63" s="12"/>
      <c r="S63" s="99"/>
      <c r="T63"/>
    </row>
    <row r="64" spans="1:20" ht="15">
      <c r="A64" s="63">
        <v>64</v>
      </c>
      <c r="B64" s="63"/>
      <c r="C64" s="90"/>
      <c r="D64" s="14"/>
      <c r="E64" s="13"/>
      <c r="F64" s="13"/>
      <c r="G64" s="13"/>
      <c r="H64" s="277">
        <f>HLOOKUP(Komplexitaet,Stammdaten!$D$4:$G$99,A64-3,0)*Fläche</f>
        <v>0</v>
      </c>
      <c r="I64" s="13"/>
      <c r="J64" s="96"/>
      <c r="K64" s="7"/>
      <c r="L64" s="7"/>
      <c r="M64" s="7"/>
      <c r="N64" s="7"/>
      <c r="O64" s="96"/>
      <c r="P64" s="7"/>
      <c r="Q64" s="98"/>
      <c r="R64" s="12"/>
      <c r="S64" s="99"/>
      <c r="T64"/>
    </row>
    <row r="65" spans="1:20" ht="15">
      <c r="A65" s="63">
        <v>65</v>
      </c>
      <c r="B65" s="63"/>
      <c r="C65" s="90"/>
      <c r="D65" s="14"/>
      <c r="E65" s="13"/>
      <c r="F65" s="13"/>
      <c r="G65" s="13"/>
      <c r="H65" s="277">
        <f>HLOOKUP(Komplexitaet,Stammdaten!$D$4:$G$99,A65-3,0)*Fläche</f>
        <v>0</v>
      </c>
      <c r="I65" s="13"/>
      <c r="J65" s="96"/>
      <c r="K65" s="7"/>
      <c r="L65" s="7"/>
      <c r="M65" s="7"/>
      <c r="N65" s="7"/>
      <c r="O65" s="96"/>
      <c r="P65" s="7"/>
      <c r="Q65" s="98"/>
      <c r="R65" s="12"/>
      <c r="S65" s="99"/>
      <c r="T65"/>
    </row>
    <row r="66" spans="1:20" ht="15">
      <c r="A66" s="63">
        <v>66</v>
      </c>
      <c r="B66" s="63"/>
      <c r="C66" s="90"/>
      <c r="D66" s="14"/>
      <c r="E66" s="13"/>
      <c r="F66" s="13"/>
      <c r="G66" s="13"/>
      <c r="H66" s="277">
        <f>HLOOKUP(Komplexitaet,Stammdaten!$D$4:$G$99,A66-3,0)*Fläche</f>
        <v>0</v>
      </c>
      <c r="I66" s="13"/>
      <c r="J66" s="96"/>
      <c r="K66" s="7"/>
      <c r="L66" s="7"/>
      <c r="M66" s="7"/>
      <c r="N66" s="7"/>
      <c r="O66" s="96"/>
      <c r="P66" s="7"/>
      <c r="Q66" s="98"/>
      <c r="R66" s="12"/>
      <c r="S66" s="99"/>
      <c r="T66"/>
    </row>
    <row r="67" spans="1:20" ht="15">
      <c r="A67" s="63">
        <v>67</v>
      </c>
      <c r="B67" s="63"/>
      <c r="C67" s="90"/>
      <c r="D67" s="14"/>
      <c r="E67" s="13"/>
      <c r="F67" s="13"/>
      <c r="G67" s="13"/>
      <c r="H67" s="277">
        <f>HLOOKUP(Komplexitaet,Stammdaten!$D$4:$G$99,A67-3,0)*Fläche</f>
        <v>0</v>
      </c>
      <c r="I67" s="13"/>
      <c r="J67" s="96"/>
      <c r="K67" s="7"/>
      <c r="L67" s="7"/>
      <c r="M67" s="7"/>
      <c r="N67" s="7"/>
      <c r="O67" s="96"/>
      <c r="P67" s="7"/>
      <c r="Q67" s="98"/>
      <c r="R67" s="12"/>
      <c r="S67" s="99"/>
      <c r="T67"/>
    </row>
    <row r="68" spans="1:20" ht="15">
      <c r="A68" s="63">
        <v>68</v>
      </c>
      <c r="B68" s="63"/>
      <c r="C68" s="90"/>
      <c r="D68" s="14"/>
      <c r="E68" s="13"/>
      <c r="F68" s="13"/>
      <c r="G68" s="13"/>
      <c r="H68" s="277">
        <f>HLOOKUP(Komplexitaet,Stammdaten!$D$4:$G$99,A68-3,0)*Fläche</f>
        <v>0</v>
      </c>
      <c r="I68" s="13"/>
      <c r="J68" s="96"/>
      <c r="K68" s="7"/>
      <c r="L68" s="7"/>
      <c r="M68" s="7"/>
      <c r="N68" s="7"/>
      <c r="O68" s="96"/>
      <c r="P68" s="7"/>
      <c r="Q68" s="98"/>
      <c r="R68" s="12"/>
      <c r="S68" s="99"/>
      <c r="T68"/>
    </row>
    <row r="69" spans="1:20" ht="15">
      <c r="A69" s="63">
        <v>69</v>
      </c>
      <c r="B69" s="63"/>
      <c r="C69" s="90"/>
      <c r="D69" s="14"/>
      <c r="E69" s="13"/>
      <c r="F69" s="13"/>
      <c r="G69" s="13"/>
      <c r="H69" s="277">
        <f>HLOOKUP(Komplexitaet,Stammdaten!$D$4:$G$99,A69-3,0)*Fläche</f>
        <v>0</v>
      </c>
      <c r="I69" s="13"/>
      <c r="J69" s="96"/>
      <c r="K69" s="7"/>
      <c r="L69" s="7"/>
      <c r="M69" s="7"/>
      <c r="N69" s="7"/>
      <c r="O69" s="96"/>
      <c r="P69" s="7"/>
      <c r="Q69" s="98"/>
      <c r="R69" s="12"/>
      <c r="S69" s="99"/>
      <c r="T69"/>
    </row>
    <row r="70" spans="1:20" s="142" customFormat="1" ht="15">
      <c r="A70" s="247">
        <v>70</v>
      </c>
      <c r="B70" s="247">
        <v>2</v>
      </c>
      <c r="C70" s="248" t="s">
        <v>18</v>
      </c>
      <c r="D70" s="249">
        <v>0</v>
      </c>
      <c r="E70" s="250">
        <v>0.5</v>
      </c>
      <c r="F70" s="250">
        <v>0.8</v>
      </c>
      <c r="G70" s="250">
        <v>1</v>
      </c>
      <c r="H70" s="279">
        <f>HLOOKUP(Komplexitaet,Stammdaten!$D$4:$G$99,A70-3,0)*Fläche</f>
        <v>2.9600000000000004</v>
      </c>
      <c r="I70" s="250">
        <v>5</v>
      </c>
      <c r="J70" s="251">
        <v>4</v>
      </c>
      <c r="K70" s="252"/>
      <c r="L70" s="252"/>
      <c r="M70" s="252"/>
      <c r="N70" s="252"/>
      <c r="O70" s="251">
        <v>4</v>
      </c>
      <c r="P70" s="252"/>
      <c r="Q70" s="253"/>
      <c r="R70" s="254"/>
      <c r="S70" s="255" t="s">
        <v>119</v>
      </c>
    </row>
    <row r="71" spans="1:20" ht="15">
      <c r="A71" s="63">
        <v>71</v>
      </c>
      <c r="B71" s="63"/>
      <c r="C71" s="90"/>
      <c r="D71" s="14"/>
      <c r="E71" s="13"/>
      <c r="F71" s="13"/>
      <c r="G71" s="13"/>
      <c r="H71" s="277">
        <f>HLOOKUP(Komplexitaet,Stammdaten!$D$4:$G$99,A71-3,0)*Fläche</f>
        <v>0</v>
      </c>
      <c r="I71" s="13"/>
      <c r="J71" s="96"/>
      <c r="K71" s="7"/>
      <c r="L71" s="7"/>
      <c r="M71" s="7"/>
      <c r="N71" s="7"/>
      <c r="O71" s="96"/>
      <c r="P71" s="7"/>
      <c r="Q71" s="98"/>
      <c r="R71" s="12"/>
      <c r="S71" s="99"/>
      <c r="T71"/>
    </row>
    <row r="72" spans="1:20" ht="15">
      <c r="A72" s="63">
        <v>72</v>
      </c>
      <c r="B72" s="63"/>
      <c r="C72" s="90"/>
      <c r="D72" s="14"/>
      <c r="E72" s="13"/>
      <c r="F72" s="13"/>
      <c r="G72" s="13"/>
      <c r="H72" s="277">
        <f>HLOOKUP(Komplexitaet,Stammdaten!$D$4:$G$99,A72-3,0)*Fläche</f>
        <v>0</v>
      </c>
      <c r="I72" s="13"/>
      <c r="J72" s="96"/>
      <c r="K72" s="7"/>
      <c r="L72" s="7"/>
      <c r="M72" s="7"/>
      <c r="N72" s="7"/>
      <c r="O72" s="96"/>
      <c r="P72" s="7"/>
      <c r="Q72" s="98"/>
      <c r="R72" s="12"/>
      <c r="S72" s="99"/>
      <c r="T72"/>
    </row>
    <row r="73" spans="1:20" ht="15">
      <c r="A73" s="63">
        <v>73</v>
      </c>
      <c r="B73" s="63"/>
      <c r="C73" s="90"/>
      <c r="D73" s="14"/>
      <c r="E73" s="13"/>
      <c r="F73" s="13"/>
      <c r="G73" s="13"/>
      <c r="H73" s="277">
        <f>HLOOKUP(Komplexitaet,Stammdaten!$D$4:$G$99,A73-3,0)*Fläche</f>
        <v>0</v>
      </c>
      <c r="I73" s="13"/>
      <c r="J73" s="96"/>
      <c r="K73" s="7"/>
      <c r="L73" s="7"/>
      <c r="M73" s="7"/>
      <c r="N73" s="7"/>
      <c r="O73" s="96"/>
      <c r="P73" s="7"/>
      <c r="Q73" s="98"/>
      <c r="R73" s="12"/>
      <c r="S73" s="99"/>
      <c r="T73"/>
    </row>
    <row r="74" spans="1:20" ht="15">
      <c r="A74" s="63">
        <v>74</v>
      </c>
      <c r="B74" s="63"/>
      <c r="C74" s="90"/>
      <c r="D74" s="14"/>
      <c r="E74" s="13"/>
      <c r="F74" s="13"/>
      <c r="G74" s="13"/>
      <c r="H74" s="277">
        <f>HLOOKUP(Komplexitaet,Stammdaten!$D$4:$G$99,A74-3,0)*Fläche</f>
        <v>0</v>
      </c>
      <c r="I74" s="13"/>
      <c r="J74" s="96"/>
      <c r="K74" s="7"/>
      <c r="L74" s="7"/>
      <c r="M74" s="7"/>
      <c r="N74" s="7"/>
      <c r="O74" s="96"/>
      <c r="P74" s="7"/>
      <c r="Q74" s="98"/>
      <c r="R74" s="12"/>
      <c r="S74" s="99"/>
      <c r="T74"/>
    </row>
    <row r="75" spans="1:20" ht="15">
      <c r="A75" s="63">
        <v>75</v>
      </c>
      <c r="B75" s="63"/>
      <c r="C75" s="90"/>
      <c r="D75" s="14"/>
      <c r="E75" s="13"/>
      <c r="F75" s="13"/>
      <c r="G75" s="13"/>
      <c r="H75" s="277">
        <f>HLOOKUP(Komplexitaet,Stammdaten!$D$4:$G$99,A75-3,0)*Fläche</f>
        <v>0</v>
      </c>
      <c r="I75" s="13"/>
      <c r="J75" s="96"/>
      <c r="K75" s="7"/>
      <c r="L75" s="7"/>
      <c r="M75" s="7"/>
      <c r="N75" s="7"/>
      <c r="O75" s="96"/>
      <c r="P75" s="7"/>
      <c r="Q75" s="98"/>
      <c r="R75" s="12"/>
      <c r="S75" s="99"/>
      <c r="T75"/>
    </row>
    <row r="76" spans="1:20" ht="15">
      <c r="A76" s="63">
        <v>76</v>
      </c>
      <c r="B76" s="63"/>
      <c r="C76" s="90"/>
      <c r="D76" s="14"/>
      <c r="E76" s="13"/>
      <c r="F76" s="13"/>
      <c r="G76" s="13"/>
      <c r="H76" s="277">
        <f>HLOOKUP(Komplexitaet,Stammdaten!$D$4:$G$99,A76-3,0)*Fläche</f>
        <v>0</v>
      </c>
      <c r="I76" s="13"/>
      <c r="J76" s="96"/>
      <c r="K76" s="7"/>
      <c r="L76" s="7"/>
      <c r="M76" s="7"/>
      <c r="N76" s="7"/>
      <c r="O76" s="96"/>
      <c r="P76" s="7"/>
      <c r="Q76" s="98"/>
      <c r="R76" s="12"/>
      <c r="S76" s="99"/>
      <c r="T76"/>
    </row>
    <row r="77" spans="1:20" ht="15">
      <c r="A77" s="63">
        <v>77</v>
      </c>
      <c r="B77" s="63"/>
      <c r="C77" s="90"/>
      <c r="D77" s="14"/>
      <c r="E77" s="13"/>
      <c r="F77" s="13"/>
      <c r="G77" s="13"/>
      <c r="H77" s="277">
        <f>HLOOKUP(Komplexitaet,Stammdaten!$D$4:$G$99,A77-3,0)*Fläche</f>
        <v>0</v>
      </c>
      <c r="I77" s="13"/>
      <c r="J77" s="96"/>
      <c r="K77" s="7"/>
      <c r="L77" s="7"/>
      <c r="M77" s="7"/>
      <c r="N77" s="7"/>
      <c r="O77" s="96"/>
      <c r="P77" s="7"/>
      <c r="Q77" s="98"/>
      <c r="R77" s="12"/>
      <c r="S77" s="99"/>
      <c r="T77"/>
    </row>
    <row r="78" spans="1:20" ht="15">
      <c r="A78" s="63">
        <v>78</v>
      </c>
      <c r="B78" s="63"/>
      <c r="C78" s="90"/>
      <c r="D78" s="14"/>
      <c r="E78" s="13"/>
      <c r="F78" s="13"/>
      <c r="G78" s="13"/>
      <c r="H78" s="277">
        <f>HLOOKUP(Komplexitaet,Stammdaten!$D$4:$G$99,A78-3,0)*Fläche</f>
        <v>0</v>
      </c>
      <c r="I78" s="13"/>
      <c r="J78" s="96"/>
      <c r="K78" s="7"/>
      <c r="L78" s="7"/>
      <c r="M78" s="7"/>
      <c r="N78" s="7"/>
      <c r="O78" s="96"/>
      <c r="P78" s="7"/>
      <c r="Q78" s="98"/>
      <c r="R78" s="12"/>
      <c r="S78" s="99"/>
      <c r="T78"/>
    </row>
    <row r="79" spans="1:20" ht="15">
      <c r="A79" s="63">
        <v>79</v>
      </c>
      <c r="B79" s="63"/>
      <c r="C79" s="90"/>
      <c r="D79" s="14"/>
      <c r="E79" s="13"/>
      <c r="F79" s="13"/>
      <c r="G79" s="13"/>
      <c r="H79" s="277">
        <f>HLOOKUP(Komplexitaet,Stammdaten!$D$4:$G$99,A79-3,0)*Fläche</f>
        <v>0</v>
      </c>
      <c r="I79" s="13"/>
      <c r="J79" s="96"/>
      <c r="K79" s="7"/>
      <c r="L79" s="7"/>
      <c r="M79" s="7"/>
      <c r="N79" s="7"/>
      <c r="O79" s="96"/>
      <c r="P79" s="7"/>
      <c r="Q79" s="98"/>
      <c r="R79" s="12"/>
      <c r="S79" s="99"/>
      <c r="T79"/>
    </row>
    <row r="80" spans="1:20" s="142" customFormat="1" ht="15">
      <c r="A80" s="247">
        <v>80</v>
      </c>
      <c r="B80" s="247">
        <v>3</v>
      </c>
      <c r="C80" s="248" t="s">
        <v>46</v>
      </c>
      <c r="D80" s="249">
        <v>2</v>
      </c>
      <c r="E80" s="250">
        <v>4</v>
      </c>
      <c r="F80" s="250">
        <v>6</v>
      </c>
      <c r="G80" s="250">
        <v>10</v>
      </c>
      <c r="H80" s="279">
        <f>HLOOKUP(Komplexitaet,Stammdaten!$D$4:$G$99,A80-3,0)*Umfang</f>
        <v>120</v>
      </c>
      <c r="I80" s="250">
        <v>10</v>
      </c>
      <c r="J80" s="251">
        <v>3</v>
      </c>
      <c r="K80" s="252">
        <v>0.5</v>
      </c>
      <c r="L80" s="252"/>
      <c r="M80" s="252"/>
      <c r="N80" s="252"/>
      <c r="O80" s="251">
        <v>2</v>
      </c>
      <c r="P80" s="252">
        <v>0.2</v>
      </c>
      <c r="Q80" s="253"/>
      <c r="R80" s="254"/>
      <c r="S80" s="255" t="s">
        <v>59</v>
      </c>
    </row>
    <row r="81" spans="1:20" ht="15">
      <c r="A81" s="63">
        <v>81</v>
      </c>
      <c r="B81" s="63">
        <v>4</v>
      </c>
      <c r="C81" s="90" t="s">
        <v>313</v>
      </c>
      <c r="D81" s="14">
        <v>10</v>
      </c>
      <c r="E81" s="13">
        <v>20</v>
      </c>
      <c r="F81" s="13">
        <v>30</v>
      </c>
      <c r="G81" s="13">
        <v>60</v>
      </c>
      <c r="H81" s="277">
        <f>HLOOKUP(Komplexitaet,Stammdaten!$D$4:$G$99,A81-3,0)*Fläche</f>
        <v>111</v>
      </c>
      <c r="I81" s="13">
        <v>10</v>
      </c>
      <c r="J81" s="96"/>
      <c r="K81" s="7"/>
      <c r="L81" s="7"/>
      <c r="M81" s="7"/>
      <c r="N81" s="7"/>
      <c r="O81" s="96"/>
      <c r="P81" s="7"/>
      <c r="Q81" s="98"/>
      <c r="R81" s="12"/>
      <c r="S81" s="99" t="s">
        <v>60</v>
      </c>
      <c r="T81"/>
    </row>
    <row r="82" spans="1:20" ht="15">
      <c r="A82" s="63">
        <v>82</v>
      </c>
      <c r="B82" s="63">
        <v>4</v>
      </c>
      <c r="C82" s="90" t="s">
        <v>314</v>
      </c>
      <c r="D82" s="14">
        <v>10</v>
      </c>
      <c r="E82" s="13">
        <v>20</v>
      </c>
      <c r="F82" s="13">
        <v>30</v>
      </c>
      <c r="G82" s="13">
        <v>60</v>
      </c>
      <c r="H82" s="277">
        <f>HLOOKUP(Komplexitaet,Stammdaten!$D$4:$G$99,A82-3,0)*Fläche</f>
        <v>111</v>
      </c>
      <c r="I82" s="13">
        <v>10</v>
      </c>
      <c r="J82" s="96"/>
      <c r="K82" s="7"/>
      <c r="L82" s="7"/>
      <c r="M82" s="7"/>
      <c r="N82" s="7"/>
      <c r="O82" s="96"/>
      <c r="P82" s="7"/>
      <c r="Q82" s="98"/>
      <c r="R82" s="12"/>
      <c r="S82" s="99"/>
      <c r="T82"/>
    </row>
    <row r="83" spans="1:20" ht="15">
      <c r="A83" s="63">
        <v>83</v>
      </c>
      <c r="B83" s="63">
        <v>4</v>
      </c>
      <c r="C83" s="90" t="s">
        <v>315</v>
      </c>
      <c r="D83" s="14">
        <v>10</v>
      </c>
      <c r="E83" s="13">
        <v>20</v>
      </c>
      <c r="F83" s="13">
        <v>30</v>
      </c>
      <c r="G83" s="13">
        <v>60</v>
      </c>
      <c r="H83" s="277">
        <f>HLOOKUP(Komplexitaet,Stammdaten!$D$4:$G$99,A83-3,0)*Fläche</f>
        <v>111</v>
      </c>
      <c r="I83" s="13">
        <v>10</v>
      </c>
      <c r="J83" s="96"/>
      <c r="K83" s="7"/>
      <c r="L83" s="7"/>
      <c r="M83" s="7"/>
      <c r="N83" s="7"/>
      <c r="O83" s="96"/>
      <c r="P83" s="7"/>
      <c r="Q83" s="98"/>
      <c r="R83" s="12"/>
      <c r="S83" s="99"/>
      <c r="T83"/>
    </row>
    <row r="84" spans="1:20" ht="15">
      <c r="A84" s="63">
        <v>84</v>
      </c>
      <c r="B84" s="63"/>
      <c r="C84" s="90"/>
      <c r="D84" s="14"/>
      <c r="E84" s="13"/>
      <c r="F84" s="13"/>
      <c r="G84" s="13"/>
      <c r="H84" s="277">
        <f>HLOOKUP(Komplexitaet,Stammdaten!$D$4:$G$99,A84-3,0)*Fläche</f>
        <v>0</v>
      </c>
      <c r="I84" s="13"/>
      <c r="J84" s="96"/>
      <c r="K84" s="7"/>
      <c r="L84" s="7"/>
      <c r="M84" s="7"/>
      <c r="N84" s="7"/>
      <c r="O84" s="96"/>
      <c r="P84" s="7"/>
      <c r="Q84" s="98"/>
      <c r="R84" s="12"/>
      <c r="S84" s="99"/>
      <c r="T84"/>
    </row>
    <row r="85" spans="1:20" ht="15">
      <c r="A85" s="63">
        <v>85</v>
      </c>
      <c r="B85" s="63"/>
      <c r="C85" s="90"/>
      <c r="D85" s="14"/>
      <c r="E85" s="13"/>
      <c r="F85" s="13"/>
      <c r="G85" s="13"/>
      <c r="H85" s="277">
        <f>HLOOKUP(Komplexitaet,Stammdaten!$D$4:$G$99,A85-3,0)*Fläche</f>
        <v>0</v>
      </c>
      <c r="I85" s="13"/>
      <c r="J85" s="96"/>
      <c r="K85" s="7"/>
      <c r="L85" s="7"/>
      <c r="M85" s="7"/>
      <c r="N85" s="7"/>
      <c r="O85" s="96"/>
      <c r="P85" s="7"/>
      <c r="Q85" s="98"/>
      <c r="R85" s="12"/>
      <c r="S85" s="99"/>
      <c r="T85"/>
    </row>
    <row r="86" spans="1:20" ht="15">
      <c r="A86" s="63">
        <v>86</v>
      </c>
      <c r="B86" s="63"/>
      <c r="C86" s="90"/>
      <c r="D86" s="14"/>
      <c r="E86" s="13"/>
      <c r="F86" s="13"/>
      <c r="G86" s="13"/>
      <c r="H86" s="277">
        <f>HLOOKUP(Komplexitaet,Stammdaten!$D$4:$G$99,A86-3,0)*Fläche</f>
        <v>0</v>
      </c>
      <c r="I86" s="13"/>
      <c r="J86" s="96"/>
      <c r="K86" s="7"/>
      <c r="L86" s="7"/>
      <c r="M86" s="7"/>
      <c r="N86" s="7"/>
      <c r="O86" s="96"/>
      <c r="P86" s="7"/>
      <c r="Q86" s="98"/>
      <c r="R86" s="12"/>
      <c r="S86" s="99"/>
      <c r="T86"/>
    </row>
    <row r="87" spans="1:20" ht="15">
      <c r="A87" s="63">
        <v>87</v>
      </c>
      <c r="B87" s="63"/>
      <c r="C87" s="90"/>
      <c r="D87" s="14"/>
      <c r="E87" s="13"/>
      <c r="F87" s="13"/>
      <c r="G87" s="13"/>
      <c r="H87" s="277">
        <f>HLOOKUP(Komplexitaet,Stammdaten!$D$4:$G$99,A87-3,0)*Fläche</f>
        <v>0</v>
      </c>
      <c r="I87" s="13"/>
      <c r="J87" s="96"/>
      <c r="K87" s="7"/>
      <c r="L87" s="7"/>
      <c r="M87" s="7"/>
      <c r="N87" s="7"/>
      <c r="O87" s="96"/>
      <c r="P87" s="7"/>
      <c r="Q87" s="98"/>
      <c r="R87" s="12"/>
      <c r="S87" s="99"/>
      <c r="T87"/>
    </row>
    <row r="88" spans="1:20" ht="15">
      <c r="A88" s="63">
        <v>88</v>
      </c>
      <c r="B88" s="63"/>
      <c r="C88" s="90"/>
      <c r="D88" s="14"/>
      <c r="E88" s="13"/>
      <c r="F88" s="13"/>
      <c r="G88" s="13"/>
      <c r="H88" s="277">
        <f>HLOOKUP(Komplexitaet,Stammdaten!$D$4:$G$99,A88-3,0)*Fläche</f>
        <v>0</v>
      </c>
      <c r="I88" s="13"/>
      <c r="J88" s="96"/>
      <c r="K88" s="7"/>
      <c r="L88" s="7"/>
      <c r="M88" s="7"/>
      <c r="N88" s="7"/>
      <c r="O88" s="96"/>
      <c r="P88" s="7"/>
      <c r="Q88" s="98"/>
      <c r="R88" s="12"/>
      <c r="S88" s="99"/>
      <c r="T88"/>
    </row>
    <row r="89" spans="1:20" ht="15">
      <c r="A89" s="63">
        <v>89</v>
      </c>
      <c r="B89" s="63"/>
      <c r="C89" s="90"/>
      <c r="D89" s="14"/>
      <c r="E89" s="13"/>
      <c r="F89" s="13"/>
      <c r="G89" s="13"/>
      <c r="H89" s="277">
        <f>HLOOKUP(Komplexitaet,Stammdaten!$D$4:$G$99,A89-3,0)*Fläche</f>
        <v>0</v>
      </c>
      <c r="I89" s="13"/>
      <c r="J89" s="96"/>
      <c r="K89" s="7"/>
      <c r="L89" s="7"/>
      <c r="M89" s="7"/>
      <c r="N89" s="7"/>
      <c r="O89" s="96"/>
      <c r="P89" s="7"/>
      <c r="Q89" s="98"/>
      <c r="R89" s="12"/>
      <c r="S89" s="99"/>
      <c r="T89"/>
    </row>
    <row r="90" spans="1:20" s="142" customFormat="1" ht="15">
      <c r="A90" s="247">
        <v>90</v>
      </c>
      <c r="B90" s="247">
        <v>5</v>
      </c>
      <c r="C90" s="248" t="s">
        <v>35</v>
      </c>
      <c r="D90" s="249">
        <v>5</v>
      </c>
      <c r="E90" s="250">
        <v>10</v>
      </c>
      <c r="F90" s="250">
        <v>15</v>
      </c>
      <c r="G90" s="250">
        <v>20</v>
      </c>
      <c r="H90" s="279">
        <f>HLOOKUP(Komplexitaet,Stammdaten!$D$4:$G$99,A90-3,0)*Fläche</f>
        <v>55.5</v>
      </c>
      <c r="I90" s="250">
        <v>5</v>
      </c>
      <c r="J90" s="251">
        <v>4</v>
      </c>
      <c r="K90" s="252"/>
      <c r="L90" s="252"/>
      <c r="M90" s="252"/>
      <c r="N90" s="252"/>
      <c r="O90" s="251"/>
      <c r="P90" s="252">
        <v>2</v>
      </c>
      <c r="Q90" s="253"/>
      <c r="R90" s="254"/>
      <c r="S90" s="255" t="s">
        <v>61</v>
      </c>
    </row>
    <row r="91" spans="1:20" ht="15">
      <c r="A91" s="63">
        <v>91</v>
      </c>
      <c r="B91" s="63">
        <v>6</v>
      </c>
      <c r="C91" s="90" t="s">
        <v>45</v>
      </c>
      <c r="D91" s="14">
        <v>5</v>
      </c>
      <c r="E91" s="13">
        <v>10</v>
      </c>
      <c r="F91" s="13">
        <v>15</v>
      </c>
      <c r="G91" s="13">
        <v>20</v>
      </c>
      <c r="H91" s="277">
        <f>HLOOKUP(Komplexitaet,Stammdaten!$D$4:$G$99,A91-3,0)*Fläche</f>
        <v>55.5</v>
      </c>
      <c r="I91" s="13">
        <v>5</v>
      </c>
      <c r="J91" s="96">
        <v>4</v>
      </c>
      <c r="K91" s="7"/>
      <c r="L91" s="7"/>
      <c r="M91" s="7"/>
      <c r="N91" s="7"/>
      <c r="O91" s="96"/>
      <c r="P91" s="7">
        <v>2</v>
      </c>
      <c r="Q91" s="98"/>
      <c r="R91" s="12"/>
      <c r="S91" s="99" t="s">
        <v>120</v>
      </c>
      <c r="T91"/>
    </row>
    <row r="92" spans="1:20" ht="15">
      <c r="A92" s="63">
        <v>92</v>
      </c>
      <c r="B92" s="63"/>
      <c r="C92" s="90"/>
      <c r="D92" s="14"/>
      <c r="E92" s="13"/>
      <c r="F92" s="13"/>
      <c r="G92" s="13"/>
      <c r="H92" s="277">
        <f>HLOOKUP(Komplexitaet,Stammdaten!$D$4:$G$99,A92-3,0)*Fläche</f>
        <v>0</v>
      </c>
      <c r="I92" s="13"/>
      <c r="J92" s="96"/>
      <c r="K92" s="7"/>
      <c r="L92" s="7"/>
      <c r="M92" s="7"/>
      <c r="N92" s="7"/>
      <c r="O92" s="96"/>
      <c r="P92" s="7"/>
      <c r="Q92" s="98"/>
      <c r="R92" s="12"/>
      <c r="S92" s="99"/>
      <c r="T92"/>
    </row>
    <row r="93" spans="1:20" ht="15">
      <c r="A93" s="63">
        <v>93</v>
      </c>
      <c r="B93" s="63"/>
      <c r="C93" s="90"/>
      <c r="D93" s="14"/>
      <c r="E93" s="13"/>
      <c r="F93" s="13"/>
      <c r="G93" s="13"/>
      <c r="H93" s="277">
        <f>HLOOKUP(Komplexitaet,Stammdaten!$D$4:$G$99,A93-3,0)*Fläche</f>
        <v>0</v>
      </c>
      <c r="I93" s="13"/>
      <c r="J93" s="96"/>
      <c r="K93" s="7"/>
      <c r="L93" s="7"/>
      <c r="M93" s="7"/>
      <c r="N93" s="7"/>
      <c r="O93" s="96"/>
      <c r="P93" s="7"/>
      <c r="Q93" s="98"/>
      <c r="R93" s="12"/>
      <c r="S93" s="99"/>
      <c r="T93"/>
    </row>
    <row r="94" spans="1:20" ht="15">
      <c r="A94" s="63">
        <v>94</v>
      </c>
      <c r="B94" s="63"/>
      <c r="C94" s="90"/>
      <c r="D94" s="14"/>
      <c r="E94" s="13"/>
      <c r="F94" s="13"/>
      <c r="G94" s="13"/>
      <c r="H94" s="277">
        <f>HLOOKUP(Komplexitaet,Stammdaten!$D$4:$G$99,A94-3,0)*Fläche</f>
        <v>0</v>
      </c>
      <c r="I94" s="13"/>
      <c r="J94" s="96"/>
      <c r="K94" s="7"/>
      <c r="L94" s="7"/>
      <c r="M94" s="7"/>
      <c r="N94" s="7"/>
      <c r="O94" s="96"/>
      <c r="P94" s="7"/>
      <c r="Q94" s="98"/>
      <c r="R94" s="12"/>
      <c r="S94" s="99"/>
      <c r="T94"/>
    </row>
    <row r="95" spans="1:20" ht="15">
      <c r="A95" s="63">
        <v>95</v>
      </c>
      <c r="B95" s="63"/>
      <c r="C95" s="90"/>
      <c r="D95" s="14"/>
      <c r="E95" s="13"/>
      <c r="F95" s="13"/>
      <c r="G95" s="13"/>
      <c r="H95" s="277">
        <f>HLOOKUP(Komplexitaet,Stammdaten!$D$4:$G$99,A95-3,0)*Fläche</f>
        <v>0</v>
      </c>
      <c r="I95" s="13"/>
      <c r="J95" s="96"/>
      <c r="K95" s="7"/>
      <c r="L95" s="7"/>
      <c r="M95" s="7"/>
      <c r="N95" s="7"/>
      <c r="O95" s="96"/>
      <c r="P95" s="7"/>
      <c r="Q95" s="98"/>
      <c r="R95" s="12"/>
      <c r="S95" s="99"/>
      <c r="T95"/>
    </row>
    <row r="96" spans="1:20" ht="15">
      <c r="A96" s="63">
        <v>96</v>
      </c>
      <c r="B96" s="63"/>
      <c r="C96" s="90"/>
      <c r="D96" s="14"/>
      <c r="E96" s="13"/>
      <c r="F96" s="13"/>
      <c r="G96" s="13"/>
      <c r="H96" s="277">
        <f>HLOOKUP(Komplexitaet,Stammdaten!$D$4:$G$99,A96-3,0)*Fläche</f>
        <v>0</v>
      </c>
      <c r="I96" s="13"/>
      <c r="J96" s="96"/>
      <c r="K96" s="7"/>
      <c r="L96" s="7"/>
      <c r="M96" s="7"/>
      <c r="N96" s="7"/>
      <c r="O96" s="96"/>
      <c r="P96" s="7"/>
      <c r="Q96" s="98"/>
      <c r="R96" s="12"/>
      <c r="S96" s="99"/>
      <c r="T96"/>
    </row>
    <row r="97" spans="1:20" ht="15">
      <c r="A97" s="63">
        <v>97</v>
      </c>
      <c r="B97" s="63"/>
      <c r="C97" s="90"/>
      <c r="D97" s="14"/>
      <c r="E97" s="13"/>
      <c r="F97" s="13"/>
      <c r="G97" s="13"/>
      <c r="H97" s="277">
        <f>HLOOKUP(Komplexitaet,Stammdaten!$D$4:$G$99,A97-3,0)*Fläche</f>
        <v>0</v>
      </c>
      <c r="I97" s="13"/>
      <c r="J97" s="96"/>
      <c r="K97" s="7"/>
      <c r="L97" s="7"/>
      <c r="M97" s="7"/>
      <c r="N97" s="7"/>
      <c r="O97" s="96"/>
      <c r="P97" s="7"/>
      <c r="Q97" s="98"/>
      <c r="R97" s="12"/>
      <c r="S97" s="99"/>
      <c r="T97"/>
    </row>
    <row r="98" spans="1:20" ht="15">
      <c r="A98" s="63">
        <v>98</v>
      </c>
      <c r="B98" s="63"/>
      <c r="C98" s="90"/>
      <c r="D98" s="14"/>
      <c r="E98" s="13"/>
      <c r="F98" s="13"/>
      <c r="G98" s="13"/>
      <c r="H98" s="277">
        <f>HLOOKUP(Komplexitaet,Stammdaten!$D$4:$G$99,A98-3,0)*Fläche</f>
        <v>0</v>
      </c>
      <c r="I98" s="13"/>
      <c r="J98" s="96"/>
      <c r="K98" s="7"/>
      <c r="L98" s="7"/>
      <c r="M98" s="7"/>
      <c r="N98" s="7"/>
      <c r="O98" s="96"/>
      <c r="P98" s="7"/>
      <c r="Q98" s="98"/>
      <c r="R98" s="12"/>
      <c r="S98" s="99"/>
      <c r="T98"/>
    </row>
    <row r="99" spans="1:20" ht="15">
      <c r="A99" s="63">
        <v>99</v>
      </c>
      <c r="B99" s="63"/>
      <c r="C99" s="90"/>
      <c r="D99" s="14"/>
      <c r="E99" s="13"/>
      <c r="F99" s="13"/>
      <c r="G99" s="13"/>
      <c r="H99" s="277">
        <f>HLOOKUP(Komplexitaet,Stammdaten!$D$4:$G$99,A99-3,0)*Fläche</f>
        <v>0</v>
      </c>
      <c r="I99" s="13"/>
      <c r="J99" s="96"/>
      <c r="K99" s="7"/>
      <c r="L99" s="7"/>
      <c r="M99" s="7"/>
      <c r="N99" s="7"/>
      <c r="O99" s="96"/>
      <c r="P99" s="7"/>
      <c r="Q99" s="98"/>
      <c r="R99" s="12"/>
      <c r="S99" s="99"/>
      <c r="T99"/>
    </row>
    <row r="100" spans="1:20" s="130" customFormat="1" ht="18">
      <c r="A100" s="836" t="s">
        <v>192</v>
      </c>
      <c r="B100" s="836"/>
      <c r="C100" s="836"/>
      <c r="D100" s="836"/>
      <c r="E100" s="836"/>
      <c r="F100" s="836"/>
      <c r="G100" s="836"/>
      <c r="H100" s="836"/>
      <c r="I100" s="836"/>
      <c r="J100" s="128"/>
      <c r="K100" s="128"/>
      <c r="L100" s="128"/>
      <c r="M100" s="128"/>
      <c r="N100" s="128"/>
      <c r="O100" s="128"/>
      <c r="P100" s="128"/>
      <c r="Q100" s="128"/>
      <c r="R100" s="128"/>
      <c r="S100" s="129"/>
      <c r="T100" s="129"/>
    </row>
    <row r="101" spans="1:20" s="74" customFormat="1" ht="15" customHeight="1" outlineLevel="1">
      <c r="A101" s="71" t="s">
        <v>193</v>
      </c>
      <c r="B101" s="71"/>
      <c r="C101" s="72"/>
      <c r="D101" s="76" t="s">
        <v>199</v>
      </c>
      <c r="E101" s="77" t="s">
        <v>203</v>
      </c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</row>
    <row r="102" spans="1:20" s="1" customFormat="1" ht="15" outlineLevel="1">
      <c r="A102" s="66" t="s">
        <v>230</v>
      </c>
      <c r="B102" s="66"/>
      <c r="C102" s="3" t="s">
        <v>9</v>
      </c>
      <c r="D102" s="67">
        <v>14</v>
      </c>
      <c r="E102" s="62"/>
      <c r="F102" s="8"/>
      <c r="G102" s="8"/>
      <c r="H102" s="8"/>
      <c r="I102" s="8"/>
      <c r="J102" s="53"/>
      <c r="K102" s="53"/>
      <c r="L102" s="53"/>
      <c r="M102" s="53"/>
      <c r="N102" s="53"/>
      <c r="O102" s="8"/>
      <c r="P102" s="8"/>
      <c r="Q102" s="8"/>
    </row>
    <row r="103" spans="1:20" s="1" customFormat="1" ht="15" outlineLevel="1">
      <c r="A103" s="66" t="s">
        <v>231</v>
      </c>
      <c r="B103" s="66"/>
      <c r="C103" s="3" t="s">
        <v>62</v>
      </c>
      <c r="D103" s="78">
        <v>320</v>
      </c>
      <c r="E103" s="62"/>
      <c r="F103" s="8"/>
      <c r="G103" s="8"/>
      <c r="H103" s="8"/>
      <c r="I103" s="8"/>
      <c r="J103" s="53"/>
      <c r="K103" s="53"/>
      <c r="L103" s="53"/>
      <c r="M103" s="53"/>
      <c r="N103" s="53"/>
      <c r="O103" s="8"/>
      <c r="P103" s="8"/>
      <c r="Q103" s="8"/>
    </row>
    <row r="104" spans="1:20" s="1" customFormat="1" ht="15" outlineLevel="1">
      <c r="A104" s="66" t="s">
        <v>232</v>
      </c>
      <c r="B104" s="66"/>
      <c r="C104" s="3"/>
      <c r="D104" s="78"/>
      <c r="E104" s="62"/>
      <c r="F104" s="8"/>
      <c r="G104" s="8"/>
      <c r="H104" s="8"/>
      <c r="I104" s="8"/>
      <c r="J104" s="53"/>
      <c r="K104" s="53"/>
      <c r="L104" s="53"/>
      <c r="M104" s="53"/>
      <c r="N104" s="53"/>
      <c r="O104" s="8"/>
      <c r="P104" s="8"/>
      <c r="Q104" s="8"/>
    </row>
    <row r="105" spans="1:20" s="1" customFormat="1" ht="15" outlineLevel="1">
      <c r="A105" s="66" t="s">
        <v>233</v>
      </c>
      <c r="B105" s="66"/>
      <c r="C105" s="3"/>
      <c r="D105" s="78"/>
      <c r="E105" s="62"/>
      <c r="F105" s="8"/>
      <c r="G105" s="8"/>
      <c r="H105" s="8"/>
      <c r="I105" s="8"/>
      <c r="J105" s="53"/>
      <c r="K105" s="53"/>
      <c r="L105" s="53"/>
      <c r="M105" s="53"/>
      <c r="N105" s="53"/>
      <c r="O105" s="8"/>
      <c r="P105" s="8"/>
      <c r="Q105" s="8"/>
    </row>
    <row r="106" spans="1:20" s="1" customFormat="1" ht="15" outlineLevel="1">
      <c r="A106" s="66" t="s">
        <v>234</v>
      </c>
      <c r="B106" s="66"/>
      <c r="C106" s="3"/>
      <c r="D106" s="78"/>
      <c r="E106" s="62"/>
      <c r="F106" s="8"/>
      <c r="G106" s="8"/>
      <c r="H106" s="8"/>
      <c r="I106" s="8"/>
      <c r="J106" s="53"/>
      <c r="K106" s="53"/>
      <c r="L106" s="53"/>
      <c r="M106" s="53"/>
      <c r="N106" s="53"/>
      <c r="O106" s="8"/>
      <c r="P106" s="8"/>
      <c r="Q106" s="8"/>
    </row>
    <row r="107" spans="1:20" s="1" customFormat="1" ht="15" outlineLevel="1">
      <c r="A107" s="66" t="s">
        <v>235</v>
      </c>
      <c r="B107" s="66"/>
      <c r="C107" s="23"/>
      <c r="D107" s="78"/>
      <c r="E107" s="62"/>
      <c r="F107" s="8"/>
      <c r="G107" s="8"/>
      <c r="H107" s="8"/>
      <c r="I107" s="8"/>
      <c r="J107" s="53"/>
      <c r="K107" s="53"/>
      <c r="L107" s="53"/>
      <c r="M107" s="53"/>
      <c r="N107" s="53"/>
      <c r="O107" s="8"/>
      <c r="P107" s="8"/>
      <c r="Q107" s="8"/>
    </row>
    <row r="108" spans="1:20" s="74" customFormat="1" ht="13.5" outlineLevel="1">
      <c r="A108" s="71" t="s">
        <v>102</v>
      </c>
      <c r="B108" s="71"/>
      <c r="C108" s="71"/>
      <c r="D108" s="524" t="s">
        <v>348</v>
      </c>
      <c r="E108" s="538" t="s">
        <v>385</v>
      </c>
      <c r="F108" s="527" t="s">
        <v>345</v>
      </c>
      <c r="G108" s="527" t="s">
        <v>347</v>
      </c>
      <c r="I108" s="527" t="s">
        <v>346</v>
      </c>
      <c r="J108" s="527" t="s">
        <v>349</v>
      </c>
      <c r="K108" s="75"/>
      <c r="L108" s="75"/>
      <c r="M108" s="75"/>
      <c r="N108" s="75"/>
      <c r="O108" s="72"/>
      <c r="P108" s="72"/>
      <c r="Q108" s="72"/>
    </row>
    <row r="109" spans="1:20" s="1" customFormat="1" ht="15" outlineLevel="1">
      <c r="A109" s="66" t="s">
        <v>219</v>
      </c>
      <c r="B109" s="66"/>
      <c r="C109" s="528" t="s">
        <v>386</v>
      </c>
      <c r="D109" s="526">
        <v>11.25</v>
      </c>
      <c r="E109" s="535"/>
      <c r="F109" s="528" t="s">
        <v>391</v>
      </c>
      <c r="G109" s="528" t="s">
        <v>395</v>
      </c>
      <c r="I109" s="1" t="s">
        <v>363</v>
      </c>
      <c r="J109" s="8"/>
      <c r="K109" s="53"/>
      <c r="L109" s="53"/>
      <c r="M109" s="53"/>
      <c r="N109" s="53"/>
      <c r="O109" s="8"/>
      <c r="P109" s="8"/>
      <c r="Q109" s="8"/>
    </row>
    <row r="110" spans="1:20" s="1" customFormat="1" ht="15" outlineLevel="1">
      <c r="A110" s="66" t="s">
        <v>220</v>
      </c>
      <c r="B110" s="66"/>
      <c r="C110" s="528" t="s">
        <v>387</v>
      </c>
      <c r="D110" s="526">
        <f>4.09+0.06</f>
        <v>4.1499999999999995</v>
      </c>
      <c r="E110" s="535"/>
      <c r="F110" s="528">
        <v>140638</v>
      </c>
      <c r="G110" s="528" t="s">
        <v>387</v>
      </c>
      <c r="I110" s="1" t="s">
        <v>352</v>
      </c>
      <c r="J110" s="53"/>
      <c r="K110" s="53"/>
      <c r="L110" s="53"/>
      <c r="M110" s="53"/>
      <c r="N110" s="53"/>
      <c r="O110" s="8"/>
      <c r="P110" s="8"/>
      <c r="Q110" s="8"/>
    </row>
    <row r="111" spans="1:20" s="1" customFormat="1" ht="15" outlineLevel="1">
      <c r="A111" s="66" t="s">
        <v>221</v>
      </c>
      <c r="B111" s="66"/>
      <c r="C111" s="528" t="s">
        <v>388</v>
      </c>
      <c r="D111" s="526">
        <v>6.35</v>
      </c>
      <c r="E111" s="535"/>
      <c r="F111" s="528" t="s">
        <v>392</v>
      </c>
      <c r="G111" s="528" t="s">
        <v>396</v>
      </c>
      <c r="I111" s="1" t="s">
        <v>358</v>
      </c>
      <c r="J111" s="8"/>
      <c r="K111" s="8"/>
      <c r="L111" s="8"/>
      <c r="M111" s="8"/>
      <c r="N111" s="8"/>
      <c r="O111" s="8"/>
      <c r="P111" s="8"/>
    </row>
    <row r="112" spans="1:20" s="1" customFormat="1" ht="15" outlineLevel="1">
      <c r="A112" s="66" t="s">
        <v>222</v>
      </c>
      <c r="B112" s="66"/>
      <c r="C112" s="528" t="s">
        <v>388</v>
      </c>
      <c r="D112" s="526">
        <v>6.37</v>
      </c>
      <c r="E112" s="535"/>
      <c r="F112" s="528" t="s">
        <v>393</v>
      </c>
      <c r="G112" s="528" t="s">
        <v>397</v>
      </c>
      <c r="I112" s="1" t="s">
        <v>358</v>
      </c>
      <c r="J112" s="8"/>
      <c r="K112" s="8"/>
      <c r="L112" s="8"/>
      <c r="M112" s="8"/>
      <c r="N112" s="8"/>
      <c r="O112" s="8"/>
      <c r="P112" s="8"/>
    </row>
    <row r="113" spans="1:20" s="1" customFormat="1" ht="15" outlineLevel="1">
      <c r="A113" s="66" t="s">
        <v>223</v>
      </c>
      <c r="B113" s="66"/>
      <c r="C113" s="528" t="s">
        <v>389</v>
      </c>
      <c r="D113" s="526">
        <f>4.58+0.06</f>
        <v>4.6399999999999997</v>
      </c>
      <c r="E113" s="535"/>
      <c r="F113" s="528">
        <v>149179</v>
      </c>
      <c r="G113" s="528" t="s">
        <v>398</v>
      </c>
      <c r="I113" s="1" t="s">
        <v>352</v>
      </c>
      <c r="J113" s="8"/>
      <c r="K113" s="8"/>
      <c r="L113" s="8"/>
      <c r="M113" s="8"/>
      <c r="N113" s="8"/>
      <c r="O113" s="8"/>
      <c r="P113" s="8"/>
    </row>
    <row r="114" spans="1:20" s="1" customFormat="1" ht="15" outlineLevel="1">
      <c r="A114" s="66" t="s">
        <v>224</v>
      </c>
      <c r="B114" s="66"/>
      <c r="C114" s="528" t="s">
        <v>390</v>
      </c>
      <c r="D114" s="526">
        <v>3.6</v>
      </c>
      <c r="E114" s="535"/>
      <c r="F114" s="528" t="s">
        <v>394</v>
      </c>
      <c r="G114" s="528" t="s">
        <v>399</v>
      </c>
      <c r="I114" s="1" t="s">
        <v>363</v>
      </c>
      <c r="J114" s="8"/>
      <c r="K114" s="8"/>
      <c r="L114" s="8"/>
      <c r="M114" s="8"/>
      <c r="N114" s="8"/>
      <c r="O114" s="8"/>
      <c r="P114" s="8"/>
    </row>
    <row r="115" spans="1:20" s="1" customFormat="1" ht="15" outlineLevel="1">
      <c r="A115" s="66" t="s">
        <v>225</v>
      </c>
      <c r="B115" s="66"/>
      <c r="C115" s="528"/>
      <c r="D115" s="526"/>
      <c r="E115" s="535"/>
      <c r="F115" s="528"/>
      <c r="G115" s="528"/>
      <c r="J115" s="5"/>
      <c r="K115" s="5"/>
      <c r="L115" s="5"/>
      <c r="M115" s="5"/>
      <c r="N115" s="5"/>
      <c r="O115" s="5"/>
      <c r="P115" s="5"/>
      <c r="Q115" s="5"/>
    </row>
    <row r="116" spans="1:20" s="1" customFormat="1" ht="15" outlineLevel="1">
      <c r="A116" s="66" t="s">
        <v>226</v>
      </c>
      <c r="B116" s="66"/>
      <c r="C116" s="528"/>
      <c r="D116" s="526"/>
      <c r="E116" s="535"/>
      <c r="F116" s="528"/>
      <c r="G116" s="528"/>
      <c r="J116" s="5"/>
      <c r="K116" s="5"/>
      <c r="L116" s="5"/>
      <c r="M116" s="5"/>
      <c r="N116" s="5"/>
      <c r="O116" s="5"/>
      <c r="P116" s="5"/>
      <c r="Q116" s="5"/>
    </row>
    <row r="117" spans="1:20" s="1" customFormat="1" ht="15" outlineLevel="1">
      <c r="A117" s="66" t="s">
        <v>227</v>
      </c>
      <c r="B117" s="66"/>
      <c r="C117" s="23"/>
      <c r="D117" s="78"/>
      <c r="E117" s="62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20" s="1" customFormat="1" ht="15" outlineLevel="1">
      <c r="A118" s="66" t="s">
        <v>228</v>
      </c>
      <c r="B118" s="66"/>
      <c r="C118" s="23"/>
      <c r="D118" s="78"/>
      <c r="E118" s="62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20" s="1" customFormat="1" ht="15" outlineLevel="1">
      <c r="A119" s="66" t="s">
        <v>229</v>
      </c>
      <c r="B119" s="66"/>
      <c r="C119" s="23"/>
      <c r="D119" s="78"/>
      <c r="E119" s="62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20" s="74" customFormat="1" ht="15.75" outlineLevel="1">
      <c r="A120" s="71" t="s">
        <v>200</v>
      </c>
      <c r="B120" s="71"/>
      <c r="C120" s="71"/>
      <c r="D120" s="524" t="s">
        <v>348</v>
      </c>
      <c r="E120" s="538" t="s">
        <v>385</v>
      </c>
      <c r="F120" s="527" t="s">
        <v>345</v>
      </c>
      <c r="G120" s="527" t="s">
        <v>347</v>
      </c>
      <c r="I120" s="527" t="s">
        <v>346</v>
      </c>
      <c r="J120" s="527" t="s">
        <v>349</v>
      </c>
      <c r="K120" s="73"/>
      <c r="L120" s="73"/>
      <c r="M120" s="73"/>
      <c r="N120" s="73"/>
      <c r="O120" s="73"/>
      <c r="P120" s="73"/>
      <c r="Q120" s="73"/>
    </row>
    <row r="121" spans="1:20" s="1" customFormat="1" ht="15" outlineLevel="1">
      <c r="A121" s="66" t="s">
        <v>204</v>
      </c>
      <c r="B121" s="66"/>
      <c r="C121" s="528" t="s">
        <v>350</v>
      </c>
      <c r="D121" s="526">
        <f>2.17+0.09</f>
        <v>2.2599999999999998</v>
      </c>
      <c r="E121" s="535">
        <v>1.25</v>
      </c>
      <c r="F121" s="528" t="s">
        <v>351</v>
      </c>
      <c r="G121" s="528" t="s">
        <v>350</v>
      </c>
      <c r="I121" s="1" t="s">
        <v>352</v>
      </c>
      <c r="J121" s="529" t="s">
        <v>355</v>
      </c>
      <c r="K121" s="5"/>
      <c r="L121" s="5"/>
      <c r="M121" s="5"/>
      <c r="N121" s="5"/>
      <c r="O121" s="5"/>
      <c r="P121" s="5"/>
      <c r="Q121" s="5"/>
    </row>
    <row r="122" spans="1:20" s="1" customFormat="1" ht="15.75" outlineLevel="1">
      <c r="A122" s="66" t="s">
        <v>205</v>
      </c>
      <c r="B122" s="66"/>
      <c r="C122" s="531" t="s">
        <v>356</v>
      </c>
      <c r="D122" s="526">
        <v>3.85</v>
      </c>
      <c r="E122" s="535">
        <v>1.6</v>
      </c>
      <c r="F122" s="530" t="s">
        <v>357</v>
      </c>
      <c r="G122" s="528" t="s">
        <v>359</v>
      </c>
      <c r="I122" s="1" t="s">
        <v>358</v>
      </c>
      <c r="J122" s="529" t="s">
        <v>361</v>
      </c>
      <c r="K122" s="5"/>
      <c r="L122" s="5"/>
      <c r="M122" s="5"/>
      <c r="N122" s="5"/>
      <c r="O122" s="5"/>
      <c r="P122" s="5"/>
      <c r="Q122" s="5"/>
    </row>
    <row r="123" spans="1:20" s="1" customFormat="1" ht="15.75" outlineLevel="1">
      <c r="A123" s="66" t="s">
        <v>206</v>
      </c>
      <c r="B123" s="66"/>
      <c r="C123" s="531" t="s">
        <v>48</v>
      </c>
      <c r="D123" s="526">
        <v>4.3499999999999996</v>
      </c>
      <c r="E123" s="535">
        <v>1.35</v>
      </c>
      <c r="F123" s="531" t="s">
        <v>362</v>
      </c>
      <c r="G123" s="531" t="s">
        <v>364</v>
      </c>
      <c r="I123" s="1" t="s">
        <v>363</v>
      </c>
      <c r="J123" s="532"/>
      <c r="K123" s="5"/>
      <c r="L123" s="5"/>
      <c r="M123" s="5"/>
      <c r="N123" s="5"/>
      <c r="O123" s="5"/>
      <c r="P123" s="5"/>
      <c r="Q123" s="5"/>
    </row>
    <row r="124" spans="1:20" s="1" customFormat="1" ht="15" outlineLevel="1">
      <c r="A124" s="66" t="s">
        <v>207</v>
      </c>
      <c r="B124" s="66"/>
      <c r="C124" s="531" t="s">
        <v>365</v>
      </c>
      <c r="D124" s="526">
        <v>6.28</v>
      </c>
      <c r="E124" s="535">
        <v>1.4</v>
      </c>
      <c r="F124" s="531" t="s">
        <v>366</v>
      </c>
      <c r="G124" s="531" t="s">
        <v>368</v>
      </c>
      <c r="I124" s="1" t="s">
        <v>367</v>
      </c>
      <c r="J124" s="529" t="s">
        <v>369</v>
      </c>
      <c r="K124" s="5"/>
      <c r="L124" s="5"/>
      <c r="M124" s="5"/>
      <c r="N124" s="5"/>
      <c r="O124" s="5"/>
      <c r="P124" s="5"/>
      <c r="Q124" s="5"/>
    </row>
    <row r="125" spans="1:20" s="1" customFormat="1" ht="15" outlineLevel="1">
      <c r="A125" s="66" t="s">
        <v>208</v>
      </c>
      <c r="B125" s="66"/>
      <c r="C125" s="531" t="s">
        <v>370</v>
      </c>
      <c r="D125" s="526">
        <v>6.38</v>
      </c>
      <c r="E125" s="536">
        <v>1.4</v>
      </c>
      <c r="F125" s="533" t="s">
        <v>371</v>
      </c>
      <c r="G125" s="533" t="s">
        <v>373</v>
      </c>
      <c r="I125" s="1" t="s">
        <v>372</v>
      </c>
      <c r="J125" s="529" t="s">
        <v>374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s="1" customFormat="1" ht="15" outlineLevel="1">
      <c r="A126" s="66" t="s">
        <v>209</v>
      </c>
      <c r="B126" s="66"/>
      <c r="C126" s="531" t="s">
        <v>375</v>
      </c>
      <c r="D126" s="526">
        <f>3.64</f>
        <v>3.64</v>
      </c>
      <c r="E126" s="536">
        <v>1.5</v>
      </c>
      <c r="F126" s="533" t="s">
        <v>376</v>
      </c>
      <c r="G126" s="533" t="s">
        <v>378</v>
      </c>
      <c r="I126" s="1" t="s">
        <v>377</v>
      </c>
      <c r="J126" s="529" t="s">
        <v>379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s="1" customFormat="1" ht="15" outlineLevel="1">
      <c r="A127" s="66" t="s">
        <v>210</v>
      </c>
      <c r="B127" s="66"/>
      <c r="C127" s="531" t="s">
        <v>380</v>
      </c>
      <c r="D127" s="526">
        <v>7.51</v>
      </c>
      <c r="E127" s="536">
        <v>1.7</v>
      </c>
      <c r="F127" s="533" t="s">
        <v>381</v>
      </c>
      <c r="G127" s="533" t="s">
        <v>383</v>
      </c>
      <c r="I127" s="1" t="s">
        <v>382</v>
      </c>
      <c r="J127" s="534" t="s">
        <v>384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s="1" customFormat="1" ht="15" outlineLevel="1">
      <c r="A128" s="66" t="s">
        <v>211</v>
      </c>
      <c r="B128" s="66"/>
      <c r="C128" s="8"/>
      <c r="D128" s="526"/>
      <c r="E128" s="537"/>
      <c r="F128" s="531"/>
      <c r="G128" s="531"/>
      <c r="H128" s="531"/>
      <c r="I128" s="531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s="1" customFormat="1" ht="15" outlineLevel="1">
      <c r="A129" s="66" t="s">
        <v>212</v>
      </c>
      <c r="B129" s="66"/>
      <c r="C129" s="8"/>
      <c r="D129" s="83"/>
      <c r="I129" s="8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s="1" customFormat="1" ht="15" outlineLevel="1">
      <c r="A130" s="66" t="s">
        <v>213</v>
      </c>
      <c r="B130" s="66"/>
      <c r="C130" s="8"/>
      <c r="D130" s="83"/>
      <c r="E130" s="82"/>
      <c r="F130" s="82"/>
      <c r="G130" s="8"/>
      <c r="H130" s="8"/>
      <c r="I130" s="8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s="1" customFormat="1" ht="15" outlineLevel="1">
      <c r="A131" s="66" t="s">
        <v>214</v>
      </c>
      <c r="B131" s="66"/>
      <c r="C131" s="8"/>
      <c r="D131" s="83"/>
      <c r="E131" s="82"/>
      <c r="F131" s="82"/>
      <c r="G131" s="8"/>
      <c r="H131" s="8"/>
      <c r="I131" s="8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s="1" customFormat="1" ht="15" outlineLevel="1">
      <c r="A132" s="66" t="s">
        <v>215</v>
      </c>
      <c r="B132" s="66"/>
      <c r="C132" s="8"/>
      <c r="D132" s="83"/>
      <c r="E132" s="82"/>
      <c r="F132" s="82"/>
      <c r="G132" s="8"/>
      <c r="H132" s="8"/>
      <c r="I132" s="8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s="1" customFormat="1" ht="15" outlineLevel="1">
      <c r="A133" s="66" t="s">
        <v>216</v>
      </c>
      <c r="B133" s="66"/>
      <c r="C133" s="8"/>
      <c r="D133" s="83"/>
      <c r="E133" s="82"/>
      <c r="F133" s="82"/>
      <c r="G133" s="8"/>
      <c r="H133" s="8"/>
      <c r="I133" s="8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15" outlineLevel="1">
      <c r="A134" s="66" t="s">
        <v>217</v>
      </c>
      <c r="B134" s="66"/>
      <c r="D134" s="83"/>
      <c r="E134" s="84"/>
      <c r="F134" s="84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15" outlineLevel="1">
      <c r="A135" s="66" t="s">
        <v>218</v>
      </c>
      <c r="B135" s="66"/>
      <c r="D135" s="69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s="74" customFormat="1" ht="15.75" outlineLevel="1">
      <c r="A136" s="71" t="s">
        <v>407</v>
      </c>
      <c r="B136" s="71"/>
      <c r="C136" s="71"/>
      <c r="D136" s="524" t="s">
        <v>348</v>
      </c>
      <c r="E136" s="538" t="s">
        <v>448</v>
      </c>
      <c r="F136" s="527" t="s">
        <v>345</v>
      </c>
      <c r="G136" s="527" t="s">
        <v>347</v>
      </c>
      <c r="I136" s="527" t="s">
        <v>346</v>
      </c>
      <c r="J136" s="527" t="s">
        <v>349</v>
      </c>
      <c r="K136" s="73"/>
      <c r="L136" s="73"/>
      <c r="M136" s="73"/>
      <c r="N136" s="73"/>
      <c r="O136" s="73"/>
      <c r="P136" s="73"/>
      <c r="Q136" s="73"/>
    </row>
    <row r="137" spans="1:20" ht="15.75" outlineLevel="1">
      <c r="A137" s="66" t="s">
        <v>408</v>
      </c>
      <c r="B137" s="66"/>
      <c r="C137" s="531" t="s">
        <v>47</v>
      </c>
      <c r="D137" s="542">
        <f>K137</f>
        <v>1.38</v>
      </c>
      <c r="E137" s="535">
        <v>83</v>
      </c>
      <c r="F137" s="530" t="s">
        <v>447</v>
      </c>
      <c r="G137" s="528" t="s">
        <v>433</v>
      </c>
      <c r="H137" s="1"/>
      <c r="I137" s="1" t="s">
        <v>439</v>
      </c>
      <c r="J137" s="529"/>
      <c r="K137" s="5">
        <v>1.38</v>
      </c>
      <c r="L137" s="531" t="s">
        <v>434</v>
      </c>
      <c r="M137" s="541" t="s">
        <v>437</v>
      </c>
      <c r="N137" s="535"/>
      <c r="O137" s="9" t="str">
        <f t="shared" ref="O137:O151" si="5">C137&amp;" "&amp;E137&amp;" g/m²"</f>
        <v>Abreissgewebe 83 g/m²</v>
      </c>
      <c r="P137" s="5"/>
      <c r="Q137" s="5"/>
      <c r="R137" s="5"/>
      <c r="S137" s="5"/>
      <c r="T137" s="5"/>
    </row>
    <row r="138" spans="1:20" ht="15.75" outlineLevel="1">
      <c r="A138" s="66" t="s">
        <v>409</v>
      </c>
      <c r="B138" s="66"/>
      <c r="C138" s="531" t="s">
        <v>426</v>
      </c>
      <c r="D138" s="542">
        <f>K138*E138/1000</f>
        <v>0.375</v>
      </c>
      <c r="E138" s="535">
        <v>150</v>
      </c>
      <c r="F138" s="530" t="s">
        <v>445</v>
      </c>
      <c r="G138" s="528" t="s">
        <v>194</v>
      </c>
      <c r="H138" s="1"/>
      <c r="I138" s="1" t="s">
        <v>377</v>
      </c>
      <c r="J138" s="529"/>
      <c r="K138" s="5">
        <v>2.5</v>
      </c>
      <c r="L138" s="531" t="s">
        <v>353</v>
      </c>
      <c r="M138" s="541" t="s">
        <v>436</v>
      </c>
      <c r="N138" s="535"/>
      <c r="O138" s="9" t="str">
        <f t="shared" si="5"/>
        <v>Glasfasermatte 150 g/m²</v>
      </c>
      <c r="P138" s="5"/>
      <c r="Q138" s="5"/>
      <c r="R138" s="5"/>
      <c r="S138" s="5"/>
      <c r="T138" s="5"/>
    </row>
    <row r="139" spans="1:20" ht="15.75" outlineLevel="1">
      <c r="A139" s="66" t="s">
        <v>410</v>
      </c>
      <c r="B139" s="66"/>
      <c r="C139" s="531" t="s">
        <v>426</v>
      </c>
      <c r="D139" s="542">
        <f>K139*E139/1000</f>
        <v>0.80549999999999999</v>
      </c>
      <c r="E139" s="535">
        <v>450</v>
      </c>
      <c r="F139" s="530" t="s">
        <v>444</v>
      </c>
      <c r="G139" s="528" t="s">
        <v>186</v>
      </c>
      <c r="H139" s="1"/>
      <c r="I139" s="1" t="s">
        <v>377</v>
      </c>
      <c r="J139" s="529"/>
      <c r="K139" s="5">
        <v>1.79</v>
      </c>
      <c r="L139" s="531" t="s">
        <v>353</v>
      </c>
      <c r="M139" s="541" t="s">
        <v>436</v>
      </c>
      <c r="N139" s="535"/>
      <c r="O139" s="9" t="str">
        <f t="shared" si="5"/>
        <v>Glasfasermatte 450 g/m²</v>
      </c>
      <c r="P139" s="5"/>
      <c r="Q139" s="5"/>
      <c r="R139" s="5"/>
      <c r="S139" s="5"/>
      <c r="T139" s="5"/>
    </row>
    <row r="140" spans="1:20" ht="15.75" outlineLevel="1">
      <c r="A140" s="66" t="s">
        <v>411</v>
      </c>
      <c r="B140" s="66"/>
      <c r="C140" s="531" t="s">
        <v>423</v>
      </c>
      <c r="D140" s="542">
        <f>K140</f>
        <v>1.66</v>
      </c>
      <c r="E140" s="535">
        <v>235</v>
      </c>
      <c r="F140" s="530" t="s">
        <v>440</v>
      </c>
      <c r="G140" s="528" t="s">
        <v>428</v>
      </c>
      <c r="H140" s="1"/>
      <c r="I140" s="1" t="s">
        <v>438</v>
      </c>
      <c r="J140" s="529"/>
      <c r="K140" s="5">
        <v>1.66</v>
      </c>
      <c r="L140" s="531" t="s">
        <v>434</v>
      </c>
      <c r="M140" s="541" t="s">
        <v>435</v>
      </c>
      <c r="N140" s="535"/>
      <c r="O140" s="9" t="str">
        <f t="shared" si="5"/>
        <v>K1800 235 g/m²</v>
      </c>
      <c r="P140" s="5"/>
      <c r="R140" s="5"/>
      <c r="S140" s="5"/>
      <c r="T140" s="5"/>
    </row>
    <row r="141" spans="1:20" ht="15.75" outlineLevel="1">
      <c r="A141" s="66" t="s">
        <v>412</v>
      </c>
      <c r="B141" s="66"/>
      <c r="C141" s="531" t="s">
        <v>425</v>
      </c>
      <c r="D141" s="542">
        <f>K141</f>
        <v>2.96</v>
      </c>
      <c r="E141" s="535">
        <v>390</v>
      </c>
      <c r="F141" s="530" t="s">
        <v>443</v>
      </c>
      <c r="G141" s="528" t="s">
        <v>431</v>
      </c>
      <c r="H141" s="1"/>
      <c r="I141" s="1" t="s">
        <v>367</v>
      </c>
      <c r="J141" s="529"/>
      <c r="K141" s="5">
        <v>2.96</v>
      </c>
      <c r="L141" s="531" t="s">
        <v>434</v>
      </c>
      <c r="M141" s="541" t="s">
        <v>435</v>
      </c>
      <c r="N141" s="535"/>
      <c r="O141" s="9" t="str">
        <f t="shared" si="5"/>
        <v>Glasseidengewebe 390 g/m²</v>
      </c>
      <c r="P141" s="5"/>
      <c r="R141" s="5"/>
      <c r="S141" s="5"/>
      <c r="T141" s="5"/>
    </row>
    <row r="142" spans="1:20" ht="15.75" outlineLevel="1">
      <c r="A142" s="66" t="s">
        <v>413</v>
      </c>
      <c r="B142" s="66"/>
      <c r="C142" s="531" t="s">
        <v>427</v>
      </c>
      <c r="D142" s="542">
        <f>K142*E142/1000</f>
        <v>0.86420000000000008</v>
      </c>
      <c r="E142" s="535">
        <v>580</v>
      </c>
      <c r="F142" s="530" t="s">
        <v>446</v>
      </c>
      <c r="G142" s="528" t="s">
        <v>432</v>
      </c>
      <c r="H142" s="1"/>
      <c r="I142" s="1" t="s">
        <v>377</v>
      </c>
      <c r="J142" s="529"/>
      <c r="K142" s="5">
        <v>1.49</v>
      </c>
      <c r="L142" s="531" t="s">
        <v>353</v>
      </c>
      <c r="M142" s="541" t="s">
        <v>436</v>
      </c>
      <c r="N142" s="535"/>
      <c r="O142" s="9" t="str">
        <f t="shared" si="5"/>
        <v>Rovinggewebe 580 g/m²</v>
      </c>
      <c r="P142" s="5"/>
      <c r="Q142" s="5"/>
      <c r="R142" s="5"/>
      <c r="S142" s="5"/>
      <c r="T142" s="5"/>
    </row>
    <row r="143" spans="1:20" ht="15.75" outlineLevel="1">
      <c r="A143" s="66" t="s">
        <v>414</v>
      </c>
      <c r="B143" s="66"/>
      <c r="C143" s="531" t="s">
        <v>424</v>
      </c>
      <c r="D143" s="542">
        <f>K143</f>
        <v>18.600000000000001</v>
      </c>
      <c r="E143" s="535">
        <v>240</v>
      </c>
      <c r="F143" s="530" t="s">
        <v>442</v>
      </c>
      <c r="G143" s="528" t="s">
        <v>430</v>
      </c>
      <c r="H143" s="1"/>
      <c r="I143" s="1" t="s">
        <v>367</v>
      </c>
      <c r="J143" s="529"/>
      <c r="K143" s="5">
        <v>18.600000000000001</v>
      </c>
      <c r="L143" s="531" t="s">
        <v>434</v>
      </c>
      <c r="M143" s="541" t="s">
        <v>435</v>
      </c>
      <c r="N143" s="535"/>
      <c r="O143" s="9" t="str">
        <f t="shared" si="5"/>
        <v>Carbongewebe 240 g/m²</v>
      </c>
      <c r="P143" s="5"/>
      <c r="R143" s="5"/>
      <c r="S143" s="5"/>
      <c r="T143" s="5"/>
    </row>
    <row r="144" spans="1:20" ht="15.75" outlineLevel="1">
      <c r="A144" s="66" t="s">
        <v>415</v>
      </c>
      <c r="B144" s="66"/>
      <c r="C144" s="531" t="s">
        <v>424</v>
      </c>
      <c r="D144" s="542">
        <f>K144</f>
        <v>16.5</v>
      </c>
      <c r="E144" s="535">
        <v>600</v>
      </c>
      <c r="F144" s="530" t="s">
        <v>441</v>
      </c>
      <c r="G144" s="528" t="s">
        <v>429</v>
      </c>
      <c r="H144" s="1"/>
      <c r="I144" s="1" t="s">
        <v>367</v>
      </c>
      <c r="J144" s="529"/>
      <c r="K144" s="5">
        <v>16.5</v>
      </c>
      <c r="L144" s="531" t="s">
        <v>434</v>
      </c>
      <c r="M144" s="541" t="s">
        <v>435</v>
      </c>
      <c r="N144" s="535"/>
      <c r="O144" s="9" t="str">
        <f t="shared" si="5"/>
        <v>Carbongewebe 600 g/m²</v>
      </c>
      <c r="P144" s="5"/>
      <c r="R144" s="5"/>
      <c r="S144" s="5"/>
      <c r="T144" s="5"/>
    </row>
    <row r="145" spans="1:20" ht="15" outlineLevel="1">
      <c r="A145" s="66" t="s">
        <v>416</v>
      </c>
      <c r="B145" s="66"/>
      <c r="O145" s="9" t="str">
        <f t="shared" si="5"/>
        <v xml:space="preserve">  g/m²</v>
      </c>
      <c r="Q145" s="5"/>
      <c r="R145" s="5"/>
      <c r="S145" s="5"/>
      <c r="T145" s="5"/>
    </row>
    <row r="146" spans="1:20" ht="15" outlineLevel="1">
      <c r="A146" s="66" t="s">
        <v>417</v>
      </c>
      <c r="B146" s="66"/>
      <c r="O146" s="9" t="str">
        <f t="shared" si="5"/>
        <v xml:space="preserve">  g/m²</v>
      </c>
      <c r="Q146" s="5"/>
      <c r="R146" s="5"/>
      <c r="S146" s="5"/>
      <c r="T146" s="5"/>
    </row>
    <row r="147" spans="1:20" ht="15" outlineLevel="1">
      <c r="A147" s="66" t="s">
        <v>418</v>
      </c>
      <c r="B147" s="66"/>
      <c r="D147" s="69"/>
      <c r="J147" s="5"/>
      <c r="K147" s="5"/>
      <c r="L147" s="5"/>
      <c r="M147" s="5"/>
      <c r="N147" s="5"/>
      <c r="O147" s="9" t="str">
        <f t="shared" si="5"/>
        <v xml:space="preserve">  g/m²</v>
      </c>
      <c r="P147" s="5"/>
      <c r="Q147" s="5"/>
      <c r="R147" s="5"/>
      <c r="S147" s="5"/>
      <c r="T147" s="5"/>
    </row>
    <row r="148" spans="1:20" ht="15" outlineLevel="1">
      <c r="A148" s="66" t="s">
        <v>419</v>
      </c>
      <c r="B148" s="66"/>
      <c r="D148" s="69"/>
      <c r="J148" s="5"/>
      <c r="K148" s="5"/>
      <c r="L148" s="5"/>
      <c r="M148" s="5"/>
      <c r="N148" s="5"/>
      <c r="O148" s="9" t="str">
        <f t="shared" si="5"/>
        <v xml:space="preserve">  g/m²</v>
      </c>
      <c r="P148" s="5"/>
      <c r="Q148" s="5"/>
      <c r="R148" s="5"/>
      <c r="S148" s="5"/>
      <c r="T148" s="5"/>
    </row>
    <row r="149" spans="1:20" s="1" customFormat="1" ht="15" outlineLevel="1">
      <c r="A149" s="66" t="s">
        <v>420</v>
      </c>
      <c r="B149" s="66"/>
      <c r="C149" s="3"/>
      <c r="D149" s="68"/>
      <c r="E149" s="15"/>
      <c r="F149" s="11"/>
      <c r="G149" s="11"/>
      <c r="H149" s="11"/>
      <c r="I149" s="6"/>
      <c r="J149" s="5"/>
      <c r="K149" s="5"/>
      <c r="L149" s="5"/>
      <c r="M149" s="5"/>
      <c r="N149" s="5"/>
      <c r="O149" s="9" t="str">
        <f t="shared" si="5"/>
        <v xml:space="preserve">  g/m²</v>
      </c>
      <c r="P149" s="5"/>
      <c r="Q149" s="5"/>
      <c r="R149" s="5"/>
      <c r="S149" s="5"/>
      <c r="T149" s="5"/>
    </row>
    <row r="150" spans="1:20" ht="15" outlineLevel="1">
      <c r="A150" s="66" t="s">
        <v>421</v>
      </c>
      <c r="B150" s="66"/>
      <c r="C150" s="22"/>
      <c r="D150" s="70"/>
      <c r="E150" s="24"/>
      <c r="F150" s="10"/>
      <c r="G150" s="10"/>
      <c r="H150" s="10"/>
      <c r="I150" s="4"/>
      <c r="J150" s="4"/>
      <c r="K150" s="4"/>
      <c r="L150" s="4"/>
      <c r="M150" s="4"/>
      <c r="N150" s="4"/>
      <c r="O150" s="9" t="str">
        <f t="shared" si="5"/>
        <v xml:space="preserve">  g/m²</v>
      </c>
      <c r="P150" s="4"/>
      <c r="Q150" s="4"/>
      <c r="R150" s="4"/>
      <c r="S150" s="4"/>
      <c r="T150" s="4"/>
    </row>
    <row r="151" spans="1:20" ht="15" outlineLevel="1">
      <c r="A151" s="66" t="s">
        <v>422</v>
      </c>
      <c r="B151" s="66"/>
      <c r="D151" s="69"/>
      <c r="J151" s="4"/>
      <c r="K151" s="4"/>
      <c r="L151" s="4"/>
      <c r="M151" s="4"/>
      <c r="N151" s="4"/>
      <c r="O151" s="9" t="str">
        <f t="shared" si="5"/>
        <v xml:space="preserve">  g/m²</v>
      </c>
      <c r="P151" s="4"/>
      <c r="Q151" s="4"/>
      <c r="R151" s="4"/>
      <c r="S151" s="4"/>
      <c r="T151" s="4"/>
    </row>
    <row r="152" spans="1:20" s="133" customFormat="1" ht="18">
      <c r="A152" s="837" t="s">
        <v>193</v>
      </c>
      <c r="B152" s="837"/>
      <c r="C152" s="837"/>
      <c r="D152" s="837"/>
      <c r="E152" s="837"/>
      <c r="F152" s="837"/>
      <c r="G152" s="837"/>
      <c r="H152" s="837"/>
      <c r="I152" s="837"/>
      <c r="J152" s="131"/>
      <c r="K152" s="131"/>
      <c r="L152" s="131"/>
      <c r="M152" s="131"/>
      <c r="N152" s="131"/>
      <c r="O152" s="131"/>
      <c r="P152" s="131"/>
      <c r="Q152" s="131"/>
      <c r="R152" s="131"/>
      <c r="S152" s="132"/>
      <c r="T152" s="132"/>
    </row>
    <row r="153" spans="1:20" s="74" customFormat="1" ht="15" customHeight="1" outlineLevel="1">
      <c r="A153" s="71"/>
      <c r="B153" s="71"/>
      <c r="C153" s="72"/>
      <c r="D153" s="76" t="s">
        <v>16</v>
      </c>
      <c r="E153" s="76" t="s">
        <v>10</v>
      </c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</row>
    <row r="154" spans="1:20" ht="15" outlineLevel="1">
      <c r="A154" s="66" t="s">
        <v>230</v>
      </c>
      <c r="B154" s="66"/>
      <c r="C154" s="3" t="s">
        <v>24</v>
      </c>
      <c r="D154" s="80">
        <v>0.2</v>
      </c>
      <c r="E154" s="81"/>
      <c r="F154" s="81"/>
      <c r="G154" s="5"/>
      <c r="H154" s="10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</row>
    <row r="155" spans="1:20" ht="15" outlineLevel="1">
      <c r="A155" s="66" t="s">
        <v>231</v>
      </c>
      <c r="B155" s="66"/>
      <c r="C155" s="3" t="s">
        <v>25</v>
      </c>
      <c r="D155" s="80">
        <v>0.6</v>
      </c>
      <c r="E155" s="56"/>
      <c r="F155" s="82"/>
      <c r="G155" s="8"/>
      <c r="H155" s="10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</row>
    <row r="156" spans="1:20" ht="15" outlineLevel="1">
      <c r="A156" s="66" t="s">
        <v>232</v>
      </c>
      <c r="B156" s="66"/>
      <c r="C156" s="3" t="s">
        <v>26</v>
      </c>
      <c r="D156" s="80">
        <v>0.8</v>
      </c>
      <c r="E156" s="56"/>
      <c r="F156" s="82"/>
      <c r="G156" s="8"/>
      <c r="H156" s="10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</row>
    <row r="157" spans="1:20" ht="15" outlineLevel="1">
      <c r="A157" s="66" t="s">
        <v>233</v>
      </c>
      <c r="B157" s="66"/>
      <c r="C157" s="9" t="s">
        <v>47</v>
      </c>
      <c r="D157" s="80">
        <v>2.25</v>
      </c>
      <c r="E157" s="56"/>
      <c r="F157" s="82"/>
      <c r="G157" s="8"/>
      <c r="H157" s="10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</row>
    <row r="158" spans="1:20" ht="15" outlineLevel="1">
      <c r="A158" s="66" t="s">
        <v>234</v>
      </c>
      <c r="B158" s="66"/>
      <c r="C158" s="3" t="s">
        <v>49</v>
      </c>
      <c r="D158" s="80">
        <v>12</v>
      </c>
      <c r="E158" s="81"/>
      <c r="F158" s="81"/>
      <c r="G158" s="5"/>
      <c r="H158" s="10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</row>
    <row r="159" spans="1:20" ht="15" outlineLevel="1">
      <c r="A159" s="66" t="s">
        <v>235</v>
      </c>
      <c r="B159" s="66"/>
      <c r="C159" s="3" t="s">
        <v>8</v>
      </c>
      <c r="D159" s="80">
        <v>1</v>
      </c>
      <c r="E159" s="81">
        <v>250</v>
      </c>
      <c r="F159" s="82"/>
      <c r="G159" s="8"/>
    </row>
    <row r="160" spans="1:20" ht="15" outlineLevel="1">
      <c r="A160" s="66" t="s">
        <v>340</v>
      </c>
      <c r="B160" s="66"/>
      <c r="C160" s="3"/>
      <c r="D160" s="80"/>
      <c r="E160" s="56"/>
      <c r="F160" s="82"/>
      <c r="G160" s="8"/>
      <c r="H160" s="10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</row>
    <row r="161" spans="1:20" ht="15" outlineLevel="1">
      <c r="A161" s="66" t="s">
        <v>341</v>
      </c>
      <c r="B161" s="66"/>
      <c r="C161" s="9"/>
      <c r="D161" s="80"/>
      <c r="F161" s="82"/>
      <c r="G161" s="8"/>
      <c r="H161"/>
    </row>
    <row r="162" spans="1:20" ht="15" outlineLevel="1">
      <c r="A162" s="66" t="s">
        <v>342</v>
      </c>
      <c r="B162" s="66"/>
      <c r="F162" s="81"/>
      <c r="G162" s="5"/>
      <c r="H162"/>
    </row>
    <row r="163" spans="1:20" ht="15" outlineLevel="1">
      <c r="E163" s="5"/>
      <c r="G163"/>
      <c r="H163"/>
    </row>
    <row r="164" spans="1:20" ht="15" outlineLevel="1">
      <c r="C164" s="543" t="s">
        <v>404</v>
      </c>
      <c r="D164" s="544" t="s">
        <v>403</v>
      </c>
      <c r="E164" s="543" t="s">
        <v>402</v>
      </c>
      <c r="F164" s="543" t="s">
        <v>406</v>
      </c>
      <c r="G164" s="545">
        <v>8.9</v>
      </c>
      <c r="H164" s="546" t="s">
        <v>353</v>
      </c>
      <c r="I164" s="543" t="s">
        <v>400</v>
      </c>
    </row>
    <row r="165" spans="1:20" ht="15" outlineLevel="1">
      <c r="C165" s="543" t="s">
        <v>404</v>
      </c>
      <c r="D165" s="543" t="s">
        <v>403</v>
      </c>
      <c r="E165" s="543" t="s">
        <v>402</v>
      </c>
      <c r="F165" s="543" t="s">
        <v>405</v>
      </c>
      <c r="G165" s="545">
        <v>8.9</v>
      </c>
      <c r="H165" s="546" t="s">
        <v>353</v>
      </c>
      <c r="I165" s="543" t="s">
        <v>400</v>
      </c>
    </row>
    <row r="166" spans="1:20" ht="15" outlineLevel="1">
      <c r="C166" s="543" t="s">
        <v>404</v>
      </c>
      <c r="D166" s="544" t="s">
        <v>403</v>
      </c>
      <c r="E166" s="543" t="s">
        <v>402</v>
      </c>
      <c r="F166" s="543" t="s">
        <v>401</v>
      </c>
      <c r="G166" s="545">
        <v>9.75</v>
      </c>
      <c r="H166" s="546" t="s">
        <v>353</v>
      </c>
      <c r="I166" s="543" t="s">
        <v>400</v>
      </c>
      <c r="J166" s="5"/>
      <c r="K166" s="5"/>
      <c r="L166" s="5"/>
      <c r="M166" s="5"/>
      <c r="N166" s="5"/>
      <c r="O166" s="5"/>
      <c r="P166" s="5"/>
      <c r="Q166" s="5"/>
      <c r="R166"/>
      <c r="S166"/>
      <c r="T166"/>
    </row>
    <row r="167" spans="1:20" outlineLevel="1">
      <c r="C167" s="547"/>
      <c r="D167" s="547"/>
      <c r="E167" s="547"/>
      <c r="F167" s="547"/>
      <c r="G167" s="547"/>
      <c r="H167" s="547"/>
      <c r="I167" s="547"/>
    </row>
    <row r="168" spans="1:20" outlineLevel="1">
      <c r="C168" s="547"/>
      <c r="D168" s="547"/>
      <c r="E168" s="547"/>
      <c r="F168" s="547"/>
      <c r="G168" s="547"/>
      <c r="H168" s="547"/>
      <c r="I168" s="547"/>
    </row>
    <row r="169" spans="1:20" ht="15" outlineLevel="1">
      <c r="C169" s="543" t="s">
        <v>452</v>
      </c>
      <c r="D169" s="543" t="s">
        <v>460</v>
      </c>
      <c r="E169" s="548" t="s">
        <v>358</v>
      </c>
      <c r="F169" s="543" t="s">
        <v>456</v>
      </c>
      <c r="G169" s="545">
        <v>5.5</v>
      </c>
      <c r="H169" s="546" t="s">
        <v>353</v>
      </c>
      <c r="I169" s="547"/>
    </row>
    <row r="170" spans="1:20" ht="15" outlineLevel="1">
      <c r="C170" s="543" t="s">
        <v>451</v>
      </c>
      <c r="D170" s="543" t="s">
        <v>459</v>
      </c>
      <c r="E170" s="548" t="s">
        <v>358</v>
      </c>
      <c r="F170" s="543" t="s">
        <v>455</v>
      </c>
      <c r="G170" s="545">
        <v>5.5</v>
      </c>
      <c r="H170" s="546" t="s">
        <v>353</v>
      </c>
      <c r="I170" s="547"/>
    </row>
    <row r="171" spans="1:20" ht="15" outlineLevel="1">
      <c r="C171" s="543" t="s">
        <v>450</v>
      </c>
      <c r="D171" s="543" t="s">
        <v>458</v>
      </c>
      <c r="E171" s="548" t="s">
        <v>358</v>
      </c>
      <c r="F171" s="543" t="s">
        <v>454</v>
      </c>
      <c r="G171" s="545">
        <v>5.5</v>
      </c>
      <c r="H171" s="546" t="s">
        <v>353</v>
      </c>
      <c r="I171" s="547"/>
    </row>
    <row r="172" spans="1:20" ht="15" outlineLevel="1">
      <c r="C172" s="549" t="s">
        <v>449</v>
      </c>
      <c r="D172" s="549" t="s">
        <v>457</v>
      </c>
      <c r="E172" s="549" t="s">
        <v>358</v>
      </c>
      <c r="F172" s="549" t="s">
        <v>453</v>
      </c>
      <c r="G172" s="545">
        <v>5.4</v>
      </c>
      <c r="H172" s="546" t="s">
        <v>353</v>
      </c>
      <c r="I172" s="547"/>
    </row>
    <row r="173" spans="1:20" outlineLevel="1"/>
    <row r="174" spans="1:20" ht="15" outlineLevel="1">
      <c r="C174" s="43" t="s">
        <v>473</v>
      </c>
      <c r="D174" s="43" t="s">
        <v>478</v>
      </c>
      <c r="E174" s="43" t="s">
        <v>358</v>
      </c>
      <c r="F174" s="43" t="s">
        <v>477</v>
      </c>
      <c r="G174" s="519">
        <v>16.89</v>
      </c>
      <c r="H174" s="515" t="s">
        <v>353</v>
      </c>
      <c r="I174" s="520" t="s">
        <v>360</v>
      </c>
    </row>
    <row r="175" spans="1:20" ht="15" outlineLevel="1">
      <c r="C175" s="43" t="s">
        <v>476</v>
      </c>
      <c r="D175" s="43" t="s">
        <v>475</v>
      </c>
      <c r="E175" s="43" t="s">
        <v>367</v>
      </c>
      <c r="F175" s="43" t="s">
        <v>474</v>
      </c>
      <c r="G175" s="519">
        <v>8.6</v>
      </c>
      <c r="H175" s="515" t="s">
        <v>353</v>
      </c>
      <c r="I175" s="516" t="s">
        <v>354</v>
      </c>
    </row>
    <row r="176" spans="1:20" ht="15" outlineLevel="1">
      <c r="C176" s="521" t="s">
        <v>473</v>
      </c>
      <c r="D176" s="521" t="s">
        <v>472</v>
      </c>
      <c r="E176" s="521" t="s">
        <v>465</v>
      </c>
      <c r="F176" s="521" t="s">
        <v>471</v>
      </c>
      <c r="G176" s="522">
        <v>3.75</v>
      </c>
      <c r="H176" s="515" t="s">
        <v>353</v>
      </c>
      <c r="I176" s="523" t="s">
        <v>354</v>
      </c>
    </row>
    <row r="177" spans="3:11" ht="15" outlineLevel="1">
      <c r="C177" s="521" t="s">
        <v>470</v>
      </c>
      <c r="D177" s="521" t="s">
        <v>469</v>
      </c>
      <c r="E177" s="521" t="s">
        <v>465</v>
      </c>
      <c r="F177" s="521" t="s">
        <v>468</v>
      </c>
      <c r="G177" s="522">
        <v>3.65</v>
      </c>
      <c r="H177" s="515" t="s">
        <v>353</v>
      </c>
      <c r="I177" s="523" t="s">
        <v>354</v>
      </c>
    </row>
    <row r="178" spans="3:11" ht="15" outlineLevel="1">
      <c r="C178" s="521" t="s">
        <v>467</v>
      </c>
      <c r="D178" s="521" t="s">
        <v>466</v>
      </c>
      <c r="E178" s="521" t="s">
        <v>465</v>
      </c>
      <c r="F178" s="521" t="s">
        <v>464</v>
      </c>
      <c r="G178" s="522">
        <v>4.0999999999999996</v>
      </c>
      <c r="H178" s="515" t="s">
        <v>353</v>
      </c>
      <c r="I178" s="523" t="s">
        <v>354</v>
      </c>
    </row>
    <row r="179" spans="3:11" ht="15" outlineLevel="1">
      <c r="C179" s="43" t="s">
        <v>463</v>
      </c>
      <c r="D179" s="43" t="s">
        <v>462</v>
      </c>
      <c r="E179" s="43" t="s">
        <v>358</v>
      </c>
      <c r="F179" s="43" t="s">
        <v>461</v>
      </c>
      <c r="G179" s="519">
        <v>5.68</v>
      </c>
      <c r="H179" s="515" t="s">
        <v>353</v>
      </c>
      <c r="I179" s="550" t="s">
        <v>360</v>
      </c>
    </row>
    <row r="180" spans="3:11" outlineLevel="1"/>
    <row r="181" spans="3:11" ht="15" outlineLevel="1">
      <c r="C181" s="43" t="s">
        <v>490</v>
      </c>
      <c r="D181" s="43" t="s">
        <v>489</v>
      </c>
      <c r="E181" s="518" t="s">
        <v>358</v>
      </c>
      <c r="F181" s="43" t="s">
        <v>488</v>
      </c>
      <c r="G181" s="519">
        <v>5.0599999999999996</v>
      </c>
      <c r="H181" s="515" t="s">
        <v>353</v>
      </c>
      <c r="I181" s="43" t="s">
        <v>479</v>
      </c>
    </row>
    <row r="182" spans="3:11" ht="15" outlineLevel="1">
      <c r="C182" s="43" t="s">
        <v>487</v>
      </c>
      <c r="D182" s="43">
        <v>79122</v>
      </c>
      <c r="E182" s="43" t="s">
        <v>481</v>
      </c>
      <c r="F182" s="43" t="s">
        <v>486</v>
      </c>
      <c r="G182" s="519">
        <v>39.840000000000003</v>
      </c>
      <c r="H182" s="515" t="s">
        <v>353</v>
      </c>
      <c r="I182" s="43" t="s">
        <v>479</v>
      </c>
    </row>
    <row r="183" spans="3:11" ht="15">
      <c r="C183" s="521" t="s">
        <v>485</v>
      </c>
      <c r="D183" s="521" t="s">
        <v>484</v>
      </c>
      <c r="E183" s="521" t="s">
        <v>372</v>
      </c>
      <c r="F183" s="521" t="s">
        <v>483</v>
      </c>
      <c r="G183" s="522">
        <v>7.5</v>
      </c>
      <c r="H183" s="515" t="s">
        <v>353</v>
      </c>
      <c r="I183" s="521" t="s">
        <v>479</v>
      </c>
    </row>
    <row r="184" spans="3:11" ht="15">
      <c r="C184" s="521" t="s">
        <v>482</v>
      </c>
      <c r="D184" s="521">
        <v>71899</v>
      </c>
      <c r="E184" s="521" t="s">
        <v>481</v>
      </c>
      <c r="F184" s="521" t="s">
        <v>480</v>
      </c>
      <c r="G184" s="522">
        <v>6.57</v>
      </c>
      <c r="H184" s="539" t="s">
        <v>353</v>
      </c>
      <c r="I184" s="521" t="s">
        <v>479</v>
      </c>
    </row>
    <row r="185" spans="3:11" ht="15">
      <c r="C185" s="525"/>
      <c r="D185" s="525"/>
      <c r="E185" s="525"/>
      <c r="F185" s="525"/>
      <c r="G185" s="551"/>
      <c r="H185" s="552"/>
      <c r="I185" s="525"/>
    </row>
    <row r="186" spans="3:11" ht="15">
      <c r="C186" s="553">
        <v>9</v>
      </c>
      <c r="D186" s="43" t="s">
        <v>491</v>
      </c>
      <c r="E186" s="554" t="s">
        <v>492</v>
      </c>
      <c r="F186" s="518" t="s">
        <v>493</v>
      </c>
      <c r="G186" s="43" t="s">
        <v>494</v>
      </c>
      <c r="H186" s="519">
        <v>1.38</v>
      </c>
      <c r="I186" s="515" t="s">
        <v>434</v>
      </c>
      <c r="J186" s="43" t="s">
        <v>495</v>
      </c>
      <c r="K186" s="517" t="s">
        <v>496</v>
      </c>
    </row>
    <row r="187" spans="3:11" ht="15">
      <c r="C187" s="555">
        <v>13</v>
      </c>
      <c r="D187" s="556" t="s">
        <v>497</v>
      </c>
      <c r="E187" s="557" t="s">
        <v>498</v>
      </c>
      <c r="F187" s="558" t="s">
        <v>499</v>
      </c>
      <c r="G187" s="556" t="s">
        <v>500</v>
      </c>
      <c r="H187" s="559">
        <v>75</v>
      </c>
      <c r="I187" s="560" t="s">
        <v>501</v>
      </c>
      <c r="J187" s="556" t="s">
        <v>495</v>
      </c>
      <c r="K187" s="561" t="s">
        <v>502</v>
      </c>
    </row>
    <row r="188" spans="3:11" ht="15">
      <c r="C188" s="562"/>
      <c r="D188" s="563"/>
      <c r="E188" s="564"/>
      <c r="F188" s="565"/>
      <c r="G188" s="563"/>
      <c r="H188" s="566"/>
      <c r="I188" s="567"/>
      <c r="J188" s="563"/>
      <c r="K188" s="568"/>
    </row>
    <row r="189" spans="3:11" ht="15">
      <c r="C189" s="569">
        <v>26</v>
      </c>
      <c r="D189" s="570" t="s">
        <v>503</v>
      </c>
      <c r="E189" s="571" t="s">
        <v>504</v>
      </c>
      <c r="F189" s="572" t="s">
        <v>499</v>
      </c>
      <c r="G189" s="570" t="s">
        <v>505</v>
      </c>
      <c r="H189" s="573">
        <v>144.19999999999999</v>
      </c>
      <c r="I189" s="574" t="s">
        <v>501</v>
      </c>
      <c r="J189" s="570" t="s">
        <v>495</v>
      </c>
      <c r="K189" s="575" t="s">
        <v>502</v>
      </c>
    </row>
    <row r="190" spans="3:11" ht="15">
      <c r="C190" s="553">
        <v>27</v>
      </c>
      <c r="D190" s="521" t="s">
        <v>506</v>
      </c>
      <c r="E190" s="576" t="s">
        <v>507</v>
      </c>
      <c r="F190" s="521" t="s">
        <v>508</v>
      </c>
      <c r="G190" s="521" t="s">
        <v>509</v>
      </c>
      <c r="H190" s="522">
        <v>3.64</v>
      </c>
      <c r="I190" s="539" t="s">
        <v>510</v>
      </c>
      <c r="J190" s="521" t="s">
        <v>495</v>
      </c>
      <c r="K190" s="540" t="s">
        <v>511</v>
      </c>
    </row>
    <row r="191" spans="3:11" ht="15">
      <c r="C191" s="553">
        <v>28</v>
      </c>
      <c r="D191" s="521" t="s">
        <v>512</v>
      </c>
      <c r="E191" s="576" t="s">
        <v>513</v>
      </c>
      <c r="F191" s="521" t="s">
        <v>508</v>
      </c>
      <c r="G191" s="521" t="s">
        <v>514</v>
      </c>
      <c r="H191" s="522">
        <v>3.07</v>
      </c>
      <c r="I191" s="539" t="s">
        <v>510</v>
      </c>
      <c r="J191" s="521" t="s">
        <v>495</v>
      </c>
      <c r="K191" s="540" t="s">
        <v>511</v>
      </c>
    </row>
    <row r="192" spans="3:11" ht="15">
      <c r="C192" s="553">
        <v>29</v>
      </c>
      <c r="D192" s="43" t="s">
        <v>515</v>
      </c>
      <c r="E192" s="554" t="s">
        <v>516</v>
      </c>
      <c r="F192" s="43" t="s">
        <v>508</v>
      </c>
      <c r="G192" s="43" t="s">
        <v>517</v>
      </c>
      <c r="H192" s="519">
        <v>3.73</v>
      </c>
      <c r="I192" s="539" t="s">
        <v>510</v>
      </c>
      <c r="J192" s="43" t="s">
        <v>495</v>
      </c>
      <c r="K192" s="517" t="s">
        <v>511</v>
      </c>
    </row>
    <row r="193" spans="3:11" ht="15">
      <c r="C193" s="553">
        <v>30</v>
      </c>
      <c r="D193" s="43" t="s">
        <v>518</v>
      </c>
      <c r="E193" s="554" t="s">
        <v>519</v>
      </c>
      <c r="F193" s="43" t="s">
        <v>493</v>
      </c>
      <c r="G193" s="43" t="s">
        <v>520</v>
      </c>
      <c r="H193" s="519">
        <v>5.01</v>
      </c>
      <c r="I193" s="539" t="s">
        <v>510</v>
      </c>
      <c r="J193" s="43" t="s">
        <v>495</v>
      </c>
      <c r="K193" s="517" t="s">
        <v>521</v>
      </c>
    </row>
    <row r="194" spans="3:11" ht="15">
      <c r="C194" s="525"/>
      <c r="D194" s="525"/>
      <c r="E194" s="525"/>
      <c r="F194" s="525"/>
      <c r="G194" s="551"/>
      <c r="H194" s="552"/>
      <c r="I194" s="525"/>
    </row>
  </sheetData>
  <mergeCells count="10">
    <mergeCell ref="O2:P3"/>
    <mergeCell ref="S2:S3"/>
    <mergeCell ref="Q2:R3"/>
    <mergeCell ref="J2:N3"/>
    <mergeCell ref="I2:I3"/>
    <mergeCell ref="A1:I1"/>
    <mergeCell ref="A100:I100"/>
    <mergeCell ref="A152:I152"/>
    <mergeCell ref="H2:H3"/>
    <mergeCell ref="D2:G3"/>
  </mergeCells>
  <phoneticPr fontId="0" type="noConversion"/>
  <hyperlinks>
    <hyperlink ref="J121" r:id="rId1"/>
    <hyperlink ref="J122" r:id="rId2"/>
    <hyperlink ref="J125" r:id="rId3"/>
    <hyperlink ref="J126" r:id="rId4"/>
    <hyperlink ref="J127" r:id="rId5"/>
    <hyperlink ref="J124" r:id="rId6"/>
  </hyperlinks>
  <pageMargins left="0.78740157499999996" right="0.78740157499999996" top="0.984251969" bottom="2.4700000000000002" header="0.4921259845" footer="0.4921259845"/>
  <pageSetup paperSize="9" orientation="landscape" r:id="rId7"/>
  <headerFooter alignWithMargins="0"/>
  <legacy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T3"/>
  <sheetViews>
    <sheetView workbookViewId="0">
      <selection activeCell="B9" sqref="B9"/>
    </sheetView>
  </sheetViews>
  <sheetFormatPr baseColWidth="10" defaultRowHeight="12.75"/>
  <sheetData>
    <row r="1" spans="1:20" s="133" customFormat="1" ht="16.5" customHeight="1">
      <c r="A1" s="837" t="s">
        <v>289</v>
      </c>
      <c r="B1" s="837"/>
      <c r="C1" s="837"/>
      <c r="D1" s="837"/>
      <c r="E1" s="837"/>
      <c r="F1" s="837"/>
      <c r="G1" s="837"/>
      <c r="H1" s="837"/>
      <c r="I1" s="837"/>
      <c r="J1" s="131"/>
      <c r="K1" s="131"/>
      <c r="L1" s="131"/>
      <c r="M1" s="131"/>
      <c r="N1" s="131"/>
      <c r="O1" s="131"/>
      <c r="P1" s="131"/>
      <c r="Q1" s="131"/>
      <c r="R1" s="131"/>
      <c r="S1" s="132"/>
      <c r="T1" s="132"/>
    </row>
    <row r="2" spans="1:20">
      <c r="A2" s="610" t="s">
        <v>291</v>
      </c>
      <c r="B2" s="174" t="s">
        <v>290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>
      <c r="A3" s="300" t="s">
        <v>292</v>
      </c>
      <c r="B3" s="174" t="s">
        <v>293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</sheetData>
  <mergeCells count="1">
    <mergeCell ref="A1:I1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E6"/>
  <sheetViews>
    <sheetView workbookViewId="0">
      <selection activeCell="A46" sqref="A46:A47"/>
    </sheetView>
  </sheetViews>
  <sheetFormatPr baseColWidth="10" defaultRowHeight="12.75"/>
  <cols>
    <col min="1" max="1" width="11.42578125" style="614"/>
    <col min="4" max="4" width="156.28515625" customWidth="1"/>
  </cols>
  <sheetData>
    <row r="1" spans="1:5">
      <c r="A1" s="613" t="s">
        <v>299</v>
      </c>
      <c r="B1" s="611" t="s">
        <v>70</v>
      </c>
      <c r="C1" s="611" t="s">
        <v>67</v>
      </c>
      <c r="D1" s="611" t="s">
        <v>559</v>
      </c>
      <c r="E1" s="611"/>
    </row>
    <row r="2" spans="1:5">
      <c r="A2" s="615" t="s">
        <v>564</v>
      </c>
      <c r="B2" s="612">
        <v>41306</v>
      </c>
      <c r="C2" t="s">
        <v>84</v>
      </c>
      <c r="D2" s="50" t="s">
        <v>560</v>
      </c>
    </row>
    <row r="3" spans="1:5">
      <c r="A3" s="615" t="s">
        <v>566</v>
      </c>
      <c r="B3" s="612">
        <v>41518</v>
      </c>
      <c r="C3" s="50" t="s">
        <v>84</v>
      </c>
      <c r="D3" s="50" t="s">
        <v>561</v>
      </c>
    </row>
    <row r="4" spans="1:5">
      <c r="A4" s="615" t="s">
        <v>567</v>
      </c>
      <c r="B4" s="612">
        <v>41730</v>
      </c>
      <c r="C4" s="50" t="s">
        <v>84</v>
      </c>
      <c r="D4" s="50" t="s">
        <v>562</v>
      </c>
    </row>
    <row r="5" spans="1:5">
      <c r="A5" s="615" t="s">
        <v>568</v>
      </c>
      <c r="B5" s="612">
        <v>41913</v>
      </c>
      <c r="C5" s="50" t="s">
        <v>84</v>
      </c>
      <c r="D5" s="50" t="s">
        <v>563</v>
      </c>
    </row>
    <row r="6" spans="1:5">
      <c r="A6" s="615" t="s">
        <v>565</v>
      </c>
      <c r="B6" s="612">
        <v>41974</v>
      </c>
      <c r="C6" s="50" t="s">
        <v>84</v>
      </c>
      <c r="D6" s="50" t="s">
        <v>569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19</vt:i4>
      </vt:variant>
    </vt:vector>
  </HeadingPairs>
  <TitlesOfParts>
    <vt:vector size="27" baseType="lpstr">
      <vt:lpstr>Ablauf</vt:lpstr>
      <vt:lpstr>Kalkulationsblatt</vt:lpstr>
      <vt:lpstr>Risiko</vt:lpstr>
      <vt:lpstr>FA</vt:lpstr>
      <vt:lpstr>FP</vt:lpstr>
      <vt:lpstr>Stammdaten</vt:lpstr>
      <vt:lpstr>Verweis</vt:lpstr>
      <vt:lpstr>Historie</vt:lpstr>
      <vt:lpstr>Auswahl</vt:lpstr>
      <vt:lpstr>Ablauf!Druckbereich</vt:lpstr>
      <vt:lpstr>FA!Druckbereich</vt:lpstr>
      <vt:lpstr>FP!Druckbereich</vt:lpstr>
      <vt:lpstr>Kalkulationsblatt!Druckbereich</vt:lpstr>
      <vt:lpstr>Risiko!Druckbereich</vt:lpstr>
      <vt:lpstr>FK</vt:lpstr>
      <vt:lpstr>Fläche</vt:lpstr>
      <vt:lpstr>Flaeche</vt:lpstr>
      <vt:lpstr>Harz</vt:lpstr>
      <vt:lpstr>Harztyp</vt:lpstr>
      <vt:lpstr>Komplexitaet</vt:lpstr>
      <vt:lpstr>LK</vt:lpstr>
      <vt:lpstr>Menge</vt:lpstr>
      <vt:lpstr>MK</vt:lpstr>
      <vt:lpstr>Teilprojekt</vt:lpstr>
      <vt:lpstr>Umfang</vt:lpstr>
      <vt:lpstr>WK</vt:lpstr>
      <vt:lpstr>zaehler</vt:lpstr>
    </vt:vector>
  </TitlesOfParts>
  <Company>LSK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Zichner</dc:creator>
  <cp:lastModifiedBy>Sammy Techritz</cp:lastModifiedBy>
  <cp:lastPrinted>2015-01-20T08:11:15Z</cp:lastPrinted>
  <dcterms:created xsi:type="dcterms:W3CDTF">2010-10-11T08:58:26Z</dcterms:created>
  <dcterms:modified xsi:type="dcterms:W3CDTF">2015-08-31T06:40:49Z</dcterms:modified>
</cp:coreProperties>
</file>